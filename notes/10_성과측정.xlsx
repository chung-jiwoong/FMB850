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Teaching\FMBA Alternative Investments\Lecture Notes - New\"/>
    </mc:Choice>
  </mc:AlternateContent>
  <bookViews>
    <workbookView xWindow="0" yWindow="0" windowWidth="12555" windowHeight="10680"/>
  </bookViews>
  <sheets>
    <sheet name="IRR" sheetId="2" r:id="rId1"/>
    <sheet name="Aggregation" sheetId="5" r:id="rId2"/>
    <sheet name="PME1" sheetId="3" r:id="rId3"/>
    <sheet name="PME2" sheetId="6" r:id="rId4"/>
    <sheet name="PME3" sheetId="7" r:id="rId5"/>
    <sheet name="성과통계" sheetId="8" r:id="rId6"/>
    <sheet name="성과통계2" sheetId="10" r:id="rId7"/>
    <sheet name="Yale" sheetId="9" r:id="rId8"/>
    <sheet name="Phalippou" sheetId="11" r:id="rId9"/>
    <sheet name="Phalippou_abbr" sheetId="12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9" i="6" l="1"/>
  <c r="Q58" i="6"/>
  <c r="Q57" i="6"/>
  <c r="Q56" i="6"/>
  <c r="P58" i="6"/>
  <c r="O57" i="6"/>
  <c r="N56" i="6"/>
  <c r="E44" i="6"/>
  <c r="E43" i="6"/>
  <c r="L38" i="6"/>
  <c r="L37" i="6"/>
  <c r="E46" i="12"/>
  <c r="D46" i="12"/>
  <c r="C46" i="12"/>
  <c r="E44" i="12"/>
  <c r="D44" i="12"/>
  <c r="C44" i="12"/>
  <c r="O43" i="12"/>
  <c r="M43" i="12"/>
  <c r="K43" i="12"/>
  <c r="G43" i="12"/>
  <c r="Q43" i="12" s="1"/>
  <c r="O42" i="12"/>
  <c r="M42" i="12"/>
  <c r="L42" i="12"/>
  <c r="K42" i="12"/>
  <c r="G42" i="12"/>
  <c r="Q42" i="12" s="1"/>
  <c r="O41" i="12"/>
  <c r="M41" i="12"/>
  <c r="L41" i="12"/>
  <c r="K41" i="12"/>
  <c r="G41" i="12"/>
  <c r="Q41" i="12" s="1"/>
  <c r="O40" i="12"/>
  <c r="M40" i="12"/>
  <c r="L40" i="12"/>
  <c r="K40" i="12"/>
  <c r="G40" i="12"/>
  <c r="Q40" i="12" s="1"/>
  <c r="O39" i="12"/>
  <c r="M39" i="12"/>
  <c r="L39" i="12"/>
  <c r="K39" i="12"/>
  <c r="G39" i="12"/>
  <c r="Q39" i="12" s="1"/>
  <c r="O38" i="12"/>
  <c r="M38" i="12"/>
  <c r="L38" i="12"/>
  <c r="K38" i="12"/>
  <c r="G38" i="12"/>
  <c r="Q38" i="12" s="1"/>
  <c r="O37" i="12"/>
  <c r="M37" i="12"/>
  <c r="L37" i="12"/>
  <c r="K37" i="12"/>
  <c r="G37" i="12"/>
  <c r="Q37" i="12" s="1"/>
  <c r="O36" i="12"/>
  <c r="M36" i="12"/>
  <c r="L36" i="12"/>
  <c r="K36" i="12"/>
  <c r="G36" i="12"/>
  <c r="Q36" i="12" s="1"/>
  <c r="O35" i="12"/>
  <c r="M35" i="12"/>
  <c r="L35" i="12"/>
  <c r="K35" i="12"/>
  <c r="G35" i="12"/>
  <c r="Q35" i="12" s="1"/>
  <c r="O34" i="12"/>
  <c r="M34" i="12"/>
  <c r="K34" i="12"/>
  <c r="G34" i="12"/>
  <c r="Q34" i="12" s="1"/>
  <c r="O33" i="12"/>
  <c r="M33" i="12"/>
  <c r="L33" i="12"/>
  <c r="K33" i="12"/>
  <c r="G33" i="12"/>
  <c r="Q33" i="12" s="1"/>
  <c r="O32" i="12"/>
  <c r="M32" i="12"/>
  <c r="K32" i="12"/>
  <c r="L43" i="12" s="1"/>
  <c r="G32" i="12"/>
  <c r="Q32" i="12" s="1"/>
  <c r="P31" i="12"/>
  <c r="O31" i="12"/>
  <c r="N31" i="12"/>
  <c r="M31" i="12"/>
  <c r="L31" i="12"/>
  <c r="K31" i="12"/>
  <c r="G31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E23" i="12"/>
  <c r="E25" i="12"/>
  <c r="F80" i="12"/>
  <c r="N10" i="12"/>
  <c r="C97" i="12"/>
  <c r="C92" i="12"/>
  <c r="E91" i="12"/>
  <c r="E92" i="12" s="1"/>
  <c r="D91" i="12"/>
  <c r="D97" i="12" s="1"/>
  <c r="H81" i="12"/>
  <c r="G81" i="12"/>
  <c r="E81" i="12"/>
  <c r="D81" i="12"/>
  <c r="C81" i="12"/>
  <c r="H80" i="12"/>
  <c r="G80" i="12"/>
  <c r="E80" i="12"/>
  <c r="D80" i="12"/>
  <c r="C80" i="12"/>
  <c r="F82" i="12" s="1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I25" i="12"/>
  <c r="F25" i="12"/>
  <c r="D25" i="12"/>
  <c r="C25" i="12"/>
  <c r="I23" i="12"/>
  <c r="F23" i="12"/>
  <c r="D23" i="12"/>
  <c r="C23" i="12"/>
  <c r="S22" i="12"/>
  <c r="O22" i="12"/>
  <c r="K22" i="12"/>
  <c r="H22" i="12"/>
  <c r="Q22" i="12" s="1"/>
  <c r="S21" i="12"/>
  <c r="O21" i="12"/>
  <c r="L21" i="12"/>
  <c r="K21" i="12"/>
  <c r="H21" i="12"/>
  <c r="Q21" i="12" s="1"/>
  <c r="S20" i="12"/>
  <c r="O20" i="12"/>
  <c r="L20" i="12"/>
  <c r="K20" i="12"/>
  <c r="H20" i="12"/>
  <c r="Q20" i="12" s="1"/>
  <c r="S19" i="12"/>
  <c r="O19" i="12"/>
  <c r="L19" i="12"/>
  <c r="K19" i="12"/>
  <c r="H19" i="12"/>
  <c r="Q19" i="12" s="1"/>
  <c r="S18" i="12"/>
  <c r="O18" i="12"/>
  <c r="L18" i="12"/>
  <c r="K18" i="12"/>
  <c r="H18" i="12"/>
  <c r="Q18" i="12" s="1"/>
  <c r="S17" i="12"/>
  <c r="O17" i="12"/>
  <c r="L17" i="12"/>
  <c r="K17" i="12"/>
  <c r="H17" i="12"/>
  <c r="Q17" i="12" s="1"/>
  <c r="S16" i="12"/>
  <c r="O16" i="12"/>
  <c r="L16" i="12"/>
  <c r="K16" i="12"/>
  <c r="H16" i="12"/>
  <c r="Q16" i="12" s="1"/>
  <c r="S15" i="12"/>
  <c r="O15" i="12"/>
  <c r="L15" i="12"/>
  <c r="K15" i="12"/>
  <c r="H15" i="12"/>
  <c r="Q15" i="12" s="1"/>
  <c r="S14" i="12"/>
  <c r="O14" i="12"/>
  <c r="L14" i="12"/>
  <c r="K14" i="12"/>
  <c r="H14" i="12"/>
  <c r="Q14" i="12" s="1"/>
  <c r="S13" i="12"/>
  <c r="O13" i="12"/>
  <c r="K13" i="12"/>
  <c r="H13" i="12"/>
  <c r="Q13" i="12" s="1"/>
  <c r="S12" i="12"/>
  <c r="O12" i="12"/>
  <c r="L12" i="12"/>
  <c r="K12" i="12"/>
  <c r="H12" i="12"/>
  <c r="Q12" i="12" s="1"/>
  <c r="S11" i="12"/>
  <c r="O11" i="12"/>
  <c r="K11" i="12"/>
  <c r="H11" i="12"/>
  <c r="Q11" i="12" s="1"/>
  <c r="T10" i="12"/>
  <c r="S10" i="12"/>
  <c r="P10" i="12"/>
  <c r="O10" i="12"/>
  <c r="M10" i="12"/>
  <c r="L10" i="12"/>
  <c r="K10" i="12"/>
  <c r="H10" i="12"/>
  <c r="C13" i="2"/>
  <c r="S22" i="11"/>
  <c r="S21" i="11"/>
  <c r="S20" i="11"/>
  <c r="S19" i="11"/>
  <c r="S18" i="11"/>
  <c r="S17" i="11"/>
  <c r="S16" i="11"/>
  <c r="S15" i="11"/>
  <c r="S14" i="11"/>
  <c r="S13" i="11"/>
  <c r="T22" i="11" s="1"/>
  <c r="S12" i="11"/>
  <c r="S11" i="11"/>
  <c r="S10" i="11"/>
  <c r="T10" i="11" s="1"/>
  <c r="I24" i="11" s="1"/>
  <c r="Q20" i="11"/>
  <c r="Q12" i="11"/>
  <c r="O22" i="11"/>
  <c r="O21" i="11"/>
  <c r="O20" i="11"/>
  <c r="O19" i="11"/>
  <c r="O18" i="11"/>
  <c r="O17" i="11"/>
  <c r="O16" i="11"/>
  <c r="O15" i="11"/>
  <c r="O14" i="11"/>
  <c r="O13" i="11"/>
  <c r="O12" i="11"/>
  <c r="P22" i="11" s="1"/>
  <c r="F24" i="11" s="1"/>
  <c r="O11" i="11"/>
  <c r="P10" i="11"/>
  <c r="O10" i="11"/>
  <c r="N10" i="11"/>
  <c r="D24" i="11" s="1"/>
  <c r="M22" i="11"/>
  <c r="M21" i="11"/>
  <c r="M20" i="11"/>
  <c r="M19" i="11"/>
  <c r="M18" i="11"/>
  <c r="M17" i="11"/>
  <c r="M16" i="11"/>
  <c r="M15" i="11"/>
  <c r="M14" i="11"/>
  <c r="M13" i="11"/>
  <c r="M12" i="11"/>
  <c r="M11" i="11"/>
  <c r="N22" i="11" s="1"/>
  <c r="K11" i="11"/>
  <c r="M10" i="11"/>
  <c r="K22" i="11"/>
  <c r="K21" i="11"/>
  <c r="K20" i="11"/>
  <c r="K19" i="11"/>
  <c r="K18" i="11"/>
  <c r="K17" i="11"/>
  <c r="K16" i="11"/>
  <c r="K15" i="11"/>
  <c r="K14" i="11"/>
  <c r="K13" i="11"/>
  <c r="L22" i="11" s="1"/>
  <c r="K12" i="11"/>
  <c r="K10" i="11"/>
  <c r="L10" i="11"/>
  <c r="L21" i="11"/>
  <c r="L20" i="11"/>
  <c r="L19" i="11"/>
  <c r="L18" i="11"/>
  <c r="L17" i="11"/>
  <c r="C24" i="11" s="1"/>
  <c r="L16" i="11"/>
  <c r="L15" i="11"/>
  <c r="L14" i="11"/>
  <c r="L12" i="11"/>
  <c r="I29" i="11"/>
  <c r="F29" i="11"/>
  <c r="E29" i="11"/>
  <c r="D29" i="11"/>
  <c r="C29" i="11"/>
  <c r="H63" i="11"/>
  <c r="G63" i="11"/>
  <c r="E63" i="11"/>
  <c r="D63" i="11"/>
  <c r="C63" i="11"/>
  <c r="F61" i="11"/>
  <c r="J29" i="2"/>
  <c r="J28" i="2"/>
  <c r="J12" i="2"/>
  <c r="J7" i="2"/>
  <c r="J6" i="2"/>
  <c r="J5" i="2"/>
  <c r="F26" i="11"/>
  <c r="E26" i="11"/>
  <c r="D26" i="11"/>
  <c r="C26" i="11"/>
  <c r="E73" i="11"/>
  <c r="C79" i="11"/>
  <c r="D73" i="11"/>
  <c r="D79" i="11" s="1"/>
  <c r="E74" i="11"/>
  <c r="D74" i="11"/>
  <c r="C74" i="11"/>
  <c r="H62" i="11"/>
  <c r="G62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62" i="11" s="1"/>
  <c r="E62" i="11"/>
  <c r="D62" i="11"/>
  <c r="C62" i="11"/>
  <c r="H22" i="11"/>
  <c r="Q22" i="11" s="1"/>
  <c r="H21" i="11"/>
  <c r="Q21" i="11" s="1"/>
  <c r="H20" i="11"/>
  <c r="H19" i="11"/>
  <c r="Q19" i="11" s="1"/>
  <c r="H18" i="11"/>
  <c r="Q18" i="11" s="1"/>
  <c r="H17" i="11"/>
  <c r="Q17" i="11" s="1"/>
  <c r="H16" i="11"/>
  <c r="Q16" i="11" s="1"/>
  <c r="H15" i="11"/>
  <c r="Q15" i="11" s="1"/>
  <c r="H14" i="11"/>
  <c r="Q14" i="11" s="1"/>
  <c r="H13" i="11"/>
  <c r="H23" i="11" s="1"/>
  <c r="H12" i="11"/>
  <c r="H11" i="11"/>
  <c r="Q11" i="11" s="1"/>
  <c r="H10" i="11"/>
  <c r="Q10" i="11" s="1"/>
  <c r="R10" i="11" s="1"/>
  <c r="I23" i="11"/>
  <c r="F23" i="11"/>
  <c r="E23" i="11"/>
  <c r="D23" i="11"/>
  <c r="C23" i="11"/>
  <c r="C45" i="12" l="1"/>
  <c r="N43" i="12"/>
  <c r="P43" i="12"/>
  <c r="E45" i="12"/>
  <c r="G46" i="12"/>
  <c r="R43" i="12"/>
  <c r="G44" i="12"/>
  <c r="Q31" i="12"/>
  <c r="R31" i="12" s="1"/>
  <c r="G45" i="12" s="1"/>
  <c r="D45" i="12"/>
  <c r="F63" i="11"/>
  <c r="H29" i="11"/>
  <c r="E24" i="11"/>
  <c r="Q13" i="11"/>
  <c r="R22" i="11" s="1"/>
  <c r="H24" i="11" s="1"/>
  <c r="G23" i="11"/>
  <c r="F81" i="12"/>
  <c r="T22" i="12"/>
  <c r="I24" i="12" s="1"/>
  <c r="H25" i="12"/>
  <c r="N22" i="12"/>
  <c r="E24" i="12" s="1"/>
  <c r="P22" i="12"/>
  <c r="F24" i="12" s="1"/>
  <c r="L22" i="12"/>
  <c r="C24" i="12" s="1"/>
  <c r="R22" i="12"/>
  <c r="Q10" i="12"/>
  <c r="R10" i="12" s="1"/>
  <c r="H23" i="12"/>
  <c r="D92" i="12"/>
  <c r="G24" i="11"/>
  <c r="M16" i="7"/>
  <c r="R11" i="7"/>
  <c r="R10" i="7"/>
  <c r="R9" i="7"/>
  <c r="R8" i="7"/>
  <c r="R7" i="7"/>
  <c r="R17" i="7" s="1"/>
  <c r="R6" i="7"/>
  <c r="Q11" i="7"/>
  <c r="Q10" i="7"/>
  <c r="Q9" i="7"/>
  <c r="Q8" i="7"/>
  <c r="Q7" i="7"/>
  <c r="Q6" i="7"/>
  <c r="Q15" i="7" s="1"/>
  <c r="P11" i="7"/>
  <c r="P15" i="7" s="1"/>
  <c r="P10" i="7"/>
  <c r="P9" i="7"/>
  <c r="P8" i="7"/>
  <c r="P7" i="7"/>
  <c r="P6" i="7"/>
  <c r="O11" i="7"/>
  <c r="O10" i="7"/>
  <c r="O9" i="7"/>
  <c r="O17" i="7" s="1"/>
  <c r="O8" i="7"/>
  <c r="O7" i="7"/>
  <c r="O6" i="7"/>
  <c r="L14" i="7"/>
  <c r="K14" i="7"/>
  <c r="J14" i="7"/>
  <c r="M13" i="7"/>
  <c r="M14" i="7" s="1"/>
  <c r="L13" i="7"/>
  <c r="K13" i="7"/>
  <c r="J13" i="7"/>
  <c r="M12" i="7"/>
  <c r="L12" i="7"/>
  <c r="L16" i="7" s="1"/>
  <c r="K12" i="7"/>
  <c r="K16" i="7" s="1"/>
  <c r="J12" i="7"/>
  <c r="J16" i="7" s="1"/>
  <c r="D70" i="6"/>
  <c r="F72" i="6"/>
  <c r="G72" i="6" s="1"/>
  <c r="E71" i="6"/>
  <c r="G71" i="6" s="1"/>
  <c r="G66" i="6"/>
  <c r="G65" i="6"/>
  <c r="G64" i="6"/>
  <c r="F58" i="6"/>
  <c r="G58" i="6" s="1"/>
  <c r="E57" i="6"/>
  <c r="G57" i="6" s="1"/>
  <c r="D56" i="6"/>
  <c r="G56" i="6" s="1"/>
  <c r="G52" i="6"/>
  <c r="G51" i="6"/>
  <c r="G50" i="6"/>
  <c r="K38" i="6"/>
  <c r="K37" i="6"/>
  <c r="K36" i="6"/>
  <c r="G37" i="6"/>
  <c r="G36" i="6"/>
  <c r="G42" i="6"/>
  <c r="G38" i="6"/>
  <c r="L36" i="6"/>
  <c r="G24" i="6"/>
  <c r="E28" i="6" s="1"/>
  <c r="G28" i="6" s="1"/>
  <c r="G27" i="6"/>
  <c r="G22" i="6"/>
  <c r="G21" i="6"/>
  <c r="K20" i="6"/>
  <c r="G20" i="6"/>
  <c r="G13" i="6"/>
  <c r="G12" i="6"/>
  <c r="K6" i="6"/>
  <c r="K7" i="6" s="1"/>
  <c r="K8" i="6" s="1"/>
  <c r="F14" i="6" s="1"/>
  <c r="G14" i="6" s="1"/>
  <c r="G8" i="6"/>
  <c r="G7" i="6"/>
  <c r="G6" i="6"/>
  <c r="E36" i="5"/>
  <c r="D36" i="5"/>
  <c r="C36" i="5"/>
  <c r="G35" i="5"/>
  <c r="G34" i="5"/>
  <c r="G33" i="5"/>
  <c r="G32" i="5"/>
  <c r="G31" i="5"/>
  <c r="G30" i="5"/>
  <c r="G29" i="5"/>
  <c r="G28" i="5"/>
  <c r="G27" i="5"/>
  <c r="G26" i="5"/>
  <c r="G25" i="5"/>
  <c r="G36" i="5" s="1"/>
  <c r="G23" i="5"/>
  <c r="G16" i="5"/>
  <c r="G15" i="5"/>
  <c r="G14" i="5"/>
  <c r="G13" i="5"/>
  <c r="G12" i="5"/>
  <c r="G11" i="5"/>
  <c r="G10" i="5"/>
  <c r="G9" i="5"/>
  <c r="G8" i="5"/>
  <c r="G7" i="5"/>
  <c r="G6" i="5"/>
  <c r="G4" i="5"/>
  <c r="E17" i="5"/>
  <c r="D17" i="5"/>
  <c r="C17" i="5"/>
  <c r="C19" i="5" s="1"/>
  <c r="K29" i="2"/>
  <c r="K28" i="2"/>
  <c r="K12" i="2"/>
  <c r="K7" i="2"/>
  <c r="K6" i="2"/>
  <c r="K5" i="2"/>
  <c r="H21" i="2"/>
  <c r="G21" i="2"/>
  <c r="C19" i="2"/>
  <c r="D18" i="2"/>
  <c r="I7" i="2"/>
  <c r="C8" i="2" s="1"/>
  <c r="J8" i="2" s="1"/>
  <c r="I6" i="2"/>
  <c r="I5" i="2"/>
  <c r="H13" i="2"/>
  <c r="J13" i="2" s="1"/>
  <c r="H3" i="2"/>
  <c r="J3" i="2" s="1"/>
  <c r="K67" i="3"/>
  <c r="K66" i="3"/>
  <c r="K65" i="3"/>
  <c r="K64" i="3"/>
  <c r="K63" i="3"/>
  <c r="K62" i="3"/>
  <c r="K61" i="3"/>
  <c r="K60" i="3"/>
  <c r="K59" i="3"/>
  <c r="K58" i="3"/>
  <c r="J67" i="3"/>
  <c r="J66" i="3"/>
  <c r="J65" i="3"/>
  <c r="J64" i="3"/>
  <c r="J63" i="3"/>
  <c r="J62" i="3"/>
  <c r="J61" i="3"/>
  <c r="J60" i="3"/>
  <c r="J59" i="3"/>
  <c r="J58" i="3"/>
  <c r="N58" i="3" s="1"/>
  <c r="H67" i="3"/>
  <c r="H66" i="3"/>
  <c r="H65" i="3"/>
  <c r="H64" i="3"/>
  <c r="H63" i="3"/>
  <c r="H62" i="3"/>
  <c r="H61" i="3"/>
  <c r="H60" i="3"/>
  <c r="H59" i="3"/>
  <c r="H58" i="3"/>
  <c r="H40" i="3"/>
  <c r="F68" i="3"/>
  <c r="E68" i="3"/>
  <c r="D61" i="3"/>
  <c r="D62" i="3" s="1"/>
  <c r="D63" i="3" s="1"/>
  <c r="D64" i="3" s="1"/>
  <c r="D65" i="3" s="1"/>
  <c r="D66" i="3" s="1"/>
  <c r="D67" i="3" s="1"/>
  <c r="D60" i="3"/>
  <c r="D59" i="3"/>
  <c r="D58" i="3"/>
  <c r="D89" i="3"/>
  <c r="H89" i="3"/>
  <c r="J89" i="3"/>
  <c r="L89" i="3" s="1"/>
  <c r="D90" i="3"/>
  <c r="H90" i="3"/>
  <c r="J90" i="3"/>
  <c r="K90" i="3" s="1"/>
  <c r="D91" i="3"/>
  <c r="H91" i="3"/>
  <c r="J91" i="3"/>
  <c r="L91" i="3" s="1"/>
  <c r="D92" i="3"/>
  <c r="D93" i="3" s="1"/>
  <c r="D94" i="3" s="1"/>
  <c r="D95" i="3" s="1"/>
  <c r="D96" i="3" s="1"/>
  <c r="D97" i="3" s="1"/>
  <c r="D98" i="3" s="1"/>
  <c r="H92" i="3"/>
  <c r="J92" i="3"/>
  <c r="K92" i="3" s="1"/>
  <c r="L92" i="3"/>
  <c r="N92" i="3"/>
  <c r="H93" i="3"/>
  <c r="N93" i="3" s="1"/>
  <c r="J93" i="3"/>
  <c r="K93" i="3" s="1"/>
  <c r="H94" i="3"/>
  <c r="J94" i="3"/>
  <c r="K94" i="3" s="1"/>
  <c r="H95" i="3"/>
  <c r="J95" i="3"/>
  <c r="L95" i="3" s="1"/>
  <c r="K95" i="3"/>
  <c r="H96" i="3"/>
  <c r="J96" i="3"/>
  <c r="K96" i="3" s="1"/>
  <c r="L96" i="3"/>
  <c r="N96" i="3"/>
  <c r="H97" i="3"/>
  <c r="J97" i="3"/>
  <c r="L97" i="3" s="1"/>
  <c r="K97" i="3"/>
  <c r="H98" i="3"/>
  <c r="J98" i="3"/>
  <c r="K98" i="3" s="1"/>
  <c r="J49" i="3"/>
  <c r="J48" i="3"/>
  <c r="J47" i="3"/>
  <c r="J46" i="3"/>
  <c r="J45" i="3"/>
  <c r="J44" i="3"/>
  <c r="J43" i="3"/>
  <c r="J42" i="3"/>
  <c r="J41" i="3"/>
  <c r="J40" i="3"/>
  <c r="F50" i="3"/>
  <c r="E50" i="3"/>
  <c r="H49" i="3"/>
  <c r="H48" i="3"/>
  <c r="H47" i="3"/>
  <c r="H46" i="3"/>
  <c r="H45" i="3"/>
  <c r="H44" i="3"/>
  <c r="H43" i="3"/>
  <c r="D43" i="3"/>
  <c r="D44" i="3" s="1"/>
  <c r="D45" i="3" s="1"/>
  <c r="D46" i="3" s="1"/>
  <c r="D47" i="3" s="1"/>
  <c r="D48" i="3" s="1"/>
  <c r="D49" i="3" s="1"/>
  <c r="H42" i="3"/>
  <c r="D42" i="3"/>
  <c r="H41" i="3"/>
  <c r="D41" i="3"/>
  <c r="D40" i="3"/>
  <c r="H23" i="3"/>
  <c r="L23" i="3" s="1"/>
  <c r="H24" i="3"/>
  <c r="L24" i="3" s="1"/>
  <c r="H25" i="3"/>
  <c r="L25" i="3" s="1"/>
  <c r="H26" i="3"/>
  <c r="L26" i="3" s="1"/>
  <c r="H27" i="3"/>
  <c r="L27" i="3" s="1"/>
  <c r="H28" i="3"/>
  <c r="L28" i="3" s="1"/>
  <c r="H29" i="3"/>
  <c r="L29" i="3" s="1"/>
  <c r="H30" i="3"/>
  <c r="L30" i="3" s="1"/>
  <c r="H31" i="3"/>
  <c r="L31" i="3" s="1"/>
  <c r="H32" i="3"/>
  <c r="J32" i="3"/>
  <c r="J31" i="3"/>
  <c r="J30" i="3"/>
  <c r="J29" i="3"/>
  <c r="J28" i="3"/>
  <c r="J27" i="3"/>
  <c r="J26" i="3"/>
  <c r="J25" i="3"/>
  <c r="J24" i="3"/>
  <c r="K23" i="3"/>
  <c r="K24" i="3" s="1"/>
  <c r="K25" i="3" s="1"/>
  <c r="K26" i="3" s="1"/>
  <c r="K27" i="3" s="1"/>
  <c r="K28" i="3" s="1"/>
  <c r="F33" i="3"/>
  <c r="E33" i="3"/>
  <c r="D26" i="3"/>
  <c r="D27" i="3" s="1"/>
  <c r="D28" i="3" s="1"/>
  <c r="D29" i="3" s="1"/>
  <c r="D30" i="3" s="1"/>
  <c r="D31" i="3" s="1"/>
  <c r="D32" i="3" s="1"/>
  <c r="D25" i="3"/>
  <c r="D24" i="3"/>
  <c r="D23" i="3"/>
  <c r="D5" i="3"/>
  <c r="H5" i="3"/>
  <c r="D6" i="3"/>
  <c r="H6" i="3"/>
  <c r="D7" i="3"/>
  <c r="H7" i="3"/>
  <c r="D8" i="3"/>
  <c r="D9" i="3" s="1"/>
  <c r="D10" i="3" s="1"/>
  <c r="D11" i="3" s="1"/>
  <c r="D12" i="3" s="1"/>
  <c r="D13" i="3" s="1"/>
  <c r="D14" i="3" s="1"/>
  <c r="H8" i="3"/>
  <c r="H9" i="3"/>
  <c r="H10" i="3"/>
  <c r="H11" i="3"/>
  <c r="H12" i="3"/>
  <c r="H13" i="3"/>
  <c r="H14" i="3"/>
  <c r="E15" i="3"/>
  <c r="F15" i="3"/>
  <c r="I83" i="3"/>
  <c r="K83" i="3" s="1"/>
  <c r="I82" i="3"/>
  <c r="J82" i="3" s="1"/>
  <c r="I81" i="3"/>
  <c r="J81" i="3" s="1"/>
  <c r="I80" i="3"/>
  <c r="J80" i="3" s="1"/>
  <c r="I79" i="3"/>
  <c r="K79" i="3" s="1"/>
  <c r="I78" i="3"/>
  <c r="K78" i="3" s="1"/>
  <c r="I77" i="3"/>
  <c r="J77" i="3" s="1"/>
  <c r="I76" i="3"/>
  <c r="J76" i="3" s="1"/>
  <c r="I75" i="3"/>
  <c r="J75" i="3" s="1"/>
  <c r="I74" i="3"/>
  <c r="J74" i="3" s="1"/>
  <c r="D77" i="3"/>
  <c r="D78" i="3" s="1"/>
  <c r="D79" i="3" s="1"/>
  <c r="D80" i="3" s="1"/>
  <c r="D81" i="3" s="1"/>
  <c r="D82" i="3" s="1"/>
  <c r="D83" i="3" s="1"/>
  <c r="D76" i="3"/>
  <c r="D75" i="3"/>
  <c r="D74" i="3"/>
  <c r="M36" i="6"/>
  <c r="L20" i="6"/>
  <c r="L6" i="6"/>
  <c r="G43" i="6" l="1"/>
  <c r="N37" i="6"/>
  <c r="N38" i="6"/>
  <c r="P17" i="7"/>
  <c r="N97" i="3"/>
  <c r="L94" i="3"/>
  <c r="K89" i="3"/>
  <c r="K8" i="2"/>
  <c r="Q17" i="7"/>
  <c r="N89" i="3"/>
  <c r="L58" i="3"/>
  <c r="L59" i="3" s="1"/>
  <c r="K13" i="2"/>
  <c r="L98" i="3"/>
  <c r="K3" i="2"/>
  <c r="H52" i="3"/>
  <c r="G17" i="5"/>
  <c r="O15" i="7"/>
  <c r="R15" i="7"/>
  <c r="H24" i="12"/>
  <c r="D24" i="12"/>
  <c r="G53" i="6"/>
  <c r="G67" i="6"/>
  <c r="G39" i="6"/>
  <c r="G59" i="6"/>
  <c r="G9" i="6"/>
  <c r="G23" i="6"/>
  <c r="K21" i="6"/>
  <c r="K22" i="6" s="1"/>
  <c r="F29" i="6" s="1"/>
  <c r="G29" i="6" s="1"/>
  <c r="G30" i="6" s="1"/>
  <c r="G15" i="6"/>
  <c r="C38" i="5"/>
  <c r="I28" i="2"/>
  <c r="D21" i="2"/>
  <c r="E18" i="2"/>
  <c r="I8" i="2"/>
  <c r="I13" i="2"/>
  <c r="I3" i="2"/>
  <c r="D4" i="2" s="1"/>
  <c r="N91" i="3"/>
  <c r="K29" i="3"/>
  <c r="K30" i="3" s="1"/>
  <c r="K31" i="3" s="1"/>
  <c r="K32" i="3" s="1"/>
  <c r="L32" i="3" s="1"/>
  <c r="L35" i="3" s="1"/>
  <c r="N90" i="3"/>
  <c r="M59" i="3"/>
  <c r="N59" i="3" s="1"/>
  <c r="N98" i="3"/>
  <c r="N94" i="3"/>
  <c r="H100" i="3"/>
  <c r="N95" i="3"/>
  <c r="H53" i="3"/>
  <c r="L93" i="3"/>
  <c r="K91" i="3"/>
  <c r="K99" i="3"/>
  <c r="H18" i="3"/>
  <c r="L90" i="3"/>
  <c r="L99" i="3" s="1"/>
  <c r="J83" i="3"/>
  <c r="K74" i="3"/>
  <c r="H36" i="3"/>
  <c r="K75" i="3"/>
  <c r="H35" i="3"/>
  <c r="K80" i="3"/>
  <c r="K81" i="3"/>
  <c r="K82" i="3"/>
  <c r="J78" i="3"/>
  <c r="K76" i="3"/>
  <c r="J79" i="3"/>
  <c r="K77" i="3"/>
  <c r="H17" i="3"/>
  <c r="B115" i="2"/>
  <c r="B114" i="2"/>
  <c r="B113" i="2"/>
  <c r="B112" i="2"/>
  <c r="B111" i="2"/>
  <c r="B110" i="2"/>
  <c r="B109" i="2"/>
  <c r="I108" i="2"/>
  <c r="H108" i="2"/>
  <c r="G108" i="2"/>
  <c r="F108" i="2"/>
  <c r="E108" i="2"/>
  <c r="D108" i="2"/>
  <c r="C108" i="2"/>
  <c r="B97" i="2"/>
  <c r="B96" i="2"/>
  <c r="B95" i="2"/>
  <c r="B94" i="2"/>
  <c r="B93" i="2"/>
  <c r="B92" i="2"/>
  <c r="B91" i="2"/>
  <c r="I90" i="2"/>
  <c r="H90" i="2"/>
  <c r="G90" i="2"/>
  <c r="F90" i="2"/>
  <c r="E90" i="2"/>
  <c r="D90" i="2"/>
  <c r="C90" i="2"/>
  <c r="I81" i="2"/>
  <c r="I97" i="2" s="1"/>
  <c r="H81" i="2"/>
  <c r="H114" i="2" s="1"/>
  <c r="I114" i="2" s="1"/>
  <c r="G81" i="2"/>
  <c r="G113" i="2" s="1"/>
  <c r="I113" i="2" s="1"/>
  <c r="F81" i="2"/>
  <c r="F94" i="2" s="1"/>
  <c r="E81" i="2"/>
  <c r="E111" i="2" s="1"/>
  <c r="D81" i="2"/>
  <c r="D92" i="2" s="1"/>
  <c r="C81" i="2"/>
  <c r="C91" i="2" s="1"/>
  <c r="J80" i="2"/>
  <c r="J79" i="2"/>
  <c r="J78" i="2"/>
  <c r="C77" i="2"/>
  <c r="D77" i="2"/>
  <c r="E77" i="2"/>
  <c r="F77" i="2"/>
  <c r="G77" i="2"/>
  <c r="H77" i="2"/>
  <c r="I77" i="2"/>
  <c r="F44" i="6" l="1"/>
  <c r="G44" i="6" s="1"/>
  <c r="G45" i="6" s="1"/>
  <c r="L60" i="3"/>
  <c r="M60" i="3"/>
  <c r="N60" i="3" s="1"/>
  <c r="J4" i="2"/>
  <c r="L9" i="2" s="1"/>
  <c r="K4" i="2"/>
  <c r="I29" i="2"/>
  <c r="F18" i="2"/>
  <c r="F21" i="2" s="1"/>
  <c r="E21" i="2"/>
  <c r="H19" i="2" s="1"/>
  <c r="I4" i="2"/>
  <c r="N100" i="3"/>
  <c r="M99" i="3"/>
  <c r="J84" i="3"/>
  <c r="K84" i="3"/>
  <c r="L84" i="3" s="1"/>
  <c r="D85" i="2"/>
  <c r="E85" i="2"/>
  <c r="J81" i="2"/>
  <c r="E93" i="2"/>
  <c r="G95" i="2"/>
  <c r="C85" i="2"/>
  <c r="C111" i="2"/>
  <c r="H96" i="2"/>
  <c r="C109" i="2"/>
  <c r="F112" i="2"/>
  <c r="I112" i="2" s="1"/>
  <c r="I115" i="2"/>
  <c r="D110" i="2"/>
  <c r="K50" i="3" l="1"/>
  <c r="L61" i="3"/>
  <c r="M61" i="3"/>
  <c r="N61" i="3" s="1"/>
  <c r="J19" i="2"/>
  <c r="K19" i="2"/>
  <c r="K18" i="2"/>
  <c r="J18" i="2"/>
  <c r="I19" i="2"/>
  <c r="I83" i="2"/>
  <c r="I95" i="2"/>
  <c r="I94" i="2"/>
  <c r="I116" i="2"/>
  <c r="I82" i="2"/>
  <c r="I96" i="2"/>
  <c r="I84" i="2"/>
  <c r="C96" i="2"/>
  <c r="C93" i="2"/>
  <c r="C88" i="2"/>
  <c r="C95" i="2"/>
  <c r="C92" i="2"/>
  <c r="C94" i="2"/>
  <c r="C110" i="2"/>
  <c r="C116" i="2" s="1"/>
  <c r="C97" i="2"/>
  <c r="L62" i="3" l="1"/>
  <c r="M62" i="3"/>
  <c r="N62" i="3" s="1"/>
  <c r="K45" i="3"/>
  <c r="L45" i="3" s="1"/>
  <c r="K44" i="3"/>
  <c r="L44" i="3" s="1"/>
  <c r="K43" i="3"/>
  <c r="L43" i="3" s="1"/>
  <c r="K42" i="3"/>
  <c r="L42" i="3" s="1"/>
  <c r="K49" i="3"/>
  <c r="L49" i="3" s="1"/>
  <c r="K41" i="3"/>
  <c r="L41" i="3" s="1"/>
  <c r="K48" i="3"/>
  <c r="L48" i="3" s="1"/>
  <c r="K40" i="3"/>
  <c r="L40" i="3" s="1"/>
  <c r="K46" i="3"/>
  <c r="L46" i="3" s="1"/>
  <c r="K47" i="3"/>
  <c r="L47" i="3" s="1"/>
  <c r="I98" i="2"/>
  <c r="C98" i="2"/>
  <c r="C117" i="2"/>
  <c r="I85" i="2"/>
  <c r="J85" i="2" s="1"/>
  <c r="M63" i="3" l="1"/>
  <c r="N63" i="3" s="1"/>
  <c r="L63" i="3"/>
  <c r="C99" i="2"/>
  <c r="C100" i="2"/>
  <c r="L52" i="3"/>
  <c r="M64" i="3" l="1"/>
  <c r="N64" i="3" s="1"/>
  <c r="L64" i="3"/>
  <c r="M65" i="3" l="1"/>
  <c r="N65" i="3" s="1"/>
  <c r="L65" i="3"/>
  <c r="M66" i="3" l="1"/>
  <c r="N66" i="3" s="1"/>
  <c r="L66" i="3"/>
  <c r="M67" i="3" l="1"/>
  <c r="L67" i="3"/>
  <c r="G70" i="6"/>
  <c r="N67" i="3" l="1"/>
  <c r="N69" i="3" s="1"/>
  <c r="G73" i="6"/>
</calcChain>
</file>

<file path=xl/sharedStrings.xml><?xml version="1.0" encoding="utf-8"?>
<sst xmlns="http://schemas.openxmlformats.org/spreadsheetml/2006/main" count="483" uniqueCount="170">
  <si>
    <t>Index</t>
  </si>
  <si>
    <t>IRR</t>
  </si>
  <si>
    <t>PME</t>
  </si>
  <si>
    <t>NAV</t>
  </si>
  <si>
    <t>PME+</t>
  </si>
  <si>
    <t>Net CF</t>
  </si>
  <si>
    <t>mPME</t>
  </si>
  <si>
    <t>Direct Alpha</t>
  </si>
  <si>
    <t>투자1</t>
  </si>
  <si>
    <t>투자2</t>
  </si>
  <si>
    <t>투자3</t>
  </si>
  <si>
    <t>현금흐름</t>
  </si>
  <si>
    <t>NPV</t>
  </si>
  <si>
    <t>Modified IRR</t>
  </si>
  <si>
    <t>NPV@x%</t>
  </si>
  <si>
    <t>CoC=</t>
  </si>
  <si>
    <t>Re.Rate=</t>
  </si>
  <si>
    <t>MIRR</t>
  </si>
  <si>
    <t>C</t>
  </si>
  <si>
    <t>D</t>
  </si>
  <si>
    <t>FV(C)</t>
  </si>
  <si>
    <t>FC(D)</t>
  </si>
  <si>
    <t>FV(Index)</t>
  </si>
  <si>
    <t>KS-PME</t>
  </si>
  <si>
    <t>IRR=</t>
  </si>
  <si>
    <t>TVPI=</t>
  </si>
  <si>
    <t>IRR &amp; TVPI</t>
  </si>
  <si>
    <t>ICM</t>
  </si>
  <si>
    <t>NAV(ICM)</t>
  </si>
  <si>
    <t>Index R</t>
  </si>
  <si>
    <t>ICM IRR=</t>
  </si>
  <si>
    <t>why not consider NAV?</t>
  </si>
  <si>
    <t>s*D</t>
  </si>
  <si>
    <t>s=</t>
  </si>
  <si>
    <t>PME+IRR=</t>
  </si>
  <si>
    <t>NAV(PE)</t>
  </si>
  <si>
    <t>D(mPME)</t>
  </si>
  <si>
    <t>NAV(mPME)</t>
  </si>
  <si>
    <t>D(weight)</t>
  </si>
  <si>
    <t>mPME IRR=</t>
  </si>
  <si>
    <t>Reinvestment rate assumption</t>
  </si>
  <si>
    <t>Cost of capital assumption</t>
  </si>
  <si>
    <t>NPV(5%)</t>
  </si>
  <si>
    <t>Early exit incentive</t>
  </si>
  <si>
    <t>Case 1</t>
  </si>
  <si>
    <t>Case 1)</t>
  </si>
  <si>
    <t>Case 2)</t>
  </si>
  <si>
    <t>Case 3)</t>
  </si>
  <si>
    <t>Case 4)</t>
  </si>
  <si>
    <t>Case 5)</t>
  </si>
  <si>
    <t>Case 6)</t>
  </si>
  <si>
    <t>Reinv=</t>
  </si>
  <si>
    <t>MOIC</t>
  </si>
  <si>
    <t>Delaying contribution using credit line</t>
  </si>
  <si>
    <t>https://blogs.cfainstitute.org/investor/2018/07/16/private-equity-funds-leverage-and-performance-evaluation/</t>
  </si>
  <si>
    <t>If you account for interest expense, MOIC would be lower in Case 2)</t>
  </si>
  <si>
    <t>https://caia.org/blog/2024/04/21/understanding-performance-benchmarking</t>
  </si>
  <si>
    <t>Issues with aggregation</t>
  </si>
  <si>
    <t>Fund I</t>
  </si>
  <si>
    <t>Fund II</t>
  </si>
  <si>
    <t>Fund III</t>
  </si>
  <si>
    <t>Size</t>
  </si>
  <si>
    <t>Cash Flow</t>
  </si>
  <si>
    <t>Pooled</t>
  </si>
  <si>
    <t>Weighted</t>
  </si>
  <si>
    <t>time weighted return -- geometric average</t>
  </si>
  <si>
    <t>dollar weighted return - IRR</t>
  </si>
  <si>
    <t>Gredil et al. 2023, JCF</t>
  </si>
  <si>
    <t>INSEAD, Measuring PE Fund Performance, 2019</t>
  </si>
  <si>
    <t>NAV(PME)</t>
  </si>
  <si>
    <t>LN-PME</t>
  </si>
  <si>
    <t>분배금이 많은 경우 NAV(PME)를 음수로 만듬 (즉 지수에 대한 숏 포지션이 됨)</t>
  </si>
  <si>
    <r>
      <t>Lambda(</t>
    </r>
    <r>
      <rPr>
        <sz val="11"/>
        <color theme="1"/>
        <rFont val="맑은 고딕"/>
        <family val="3"/>
        <charset val="129"/>
      </rPr>
      <t>λ</t>
    </r>
    <r>
      <rPr>
        <sz val="11"/>
        <color theme="1"/>
        <rFont val="Calibri"/>
        <family val="2"/>
      </rPr>
      <t>)=</t>
    </r>
  </si>
  <si>
    <t>NAV(PE)=NAV(PME)가 되도록 λ를 선택</t>
  </si>
  <si>
    <t>λ*D</t>
  </si>
  <si>
    <t>Net CF
+NAV(PME)</t>
  </si>
  <si>
    <t>분배금에 λ를 곱해서 일부만 시장에 다시 투자된 것으로 간주함으로써, 가상 투자계좌의 잔고가 음수가 되지 않고 정확히 펀드의 NAV에 맞춰지도록 조정</t>
  </si>
  <si>
    <t>FV(D)</t>
  </si>
  <si>
    <t>Net CF
+NAV(PE)</t>
  </si>
  <si>
    <t>KS-PME=</t>
  </si>
  <si>
    <t>성과가 비율로 표시되므로, “얼마나 더 나았는지”를 연간 수익률 관점에서 직감하기 어려울 수 있음. 예컨대 KS-PME 1.3이라면 시장 대비 1.3배의 최종 가치이지만, 이게 몇 년 간의 초과성과인지에 따라 연평균 초과수익률은 달라짐. 따라서 이 비율을 연환산한 Direct Alpha 지표로 전환해 해석하기도</t>
  </si>
  <si>
    <t>"이 펀드가 매년 시장 대비 얼마만큼 앞섰는가”를 %로 보여주므로 이해하기 쉽고, 타 자산군의 알파 개념과도 일관. 이론적으로도 모던 포트폴리오 이론의 알파 정의에서 출발하여 도출되었기에 정당한 성과분석 방법으로 받아들여집니다. 또한 KS-PME가 1이면 Direct Alpha=0.</t>
  </si>
  <si>
    <t>Advanced Introduction</t>
  </si>
  <si>
    <t>Year</t>
  </si>
  <si>
    <t>Fund</t>
  </si>
  <si>
    <t>A</t>
  </si>
  <si>
    <t>B</t>
  </si>
  <si>
    <t>PME(0%)</t>
  </si>
  <si>
    <t>PME(10%)</t>
  </si>
  <si>
    <t>Direct alpha(0%)</t>
  </si>
  <si>
    <t>Direct alpha(10%)</t>
  </si>
  <si>
    <t>FV</t>
  </si>
  <si>
    <t>Jenkinson et al. 2023</t>
  </si>
  <si>
    <t>TVPI</t>
  </si>
  <si>
    <t>North America</t>
  </si>
  <si>
    <t>Europe</t>
  </si>
  <si>
    <t>Asia Pacific</t>
  </si>
  <si>
    <t>Mean</t>
  </si>
  <si>
    <t>95th</t>
  </si>
  <si>
    <t>50th</t>
  </si>
  <si>
    <t>5th</t>
  </si>
  <si>
    <t>(All)</t>
  </si>
  <si>
    <t>Yale case</t>
  </si>
  <si>
    <t>Domestic</t>
  </si>
  <si>
    <t>Foreign</t>
  </si>
  <si>
    <t>Total</t>
  </si>
  <si>
    <t>Burgiss</t>
  </si>
  <si>
    <t>Advanced Introduction, pp 57</t>
  </si>
  <si>
    <t>Capitalization (M)</t>
  </si>
  <si>
    <t>N</t>
  </si>
  <si>
    <t>IRR Mean</t>
  </si>
  <si>
    <t>IRR Median</t>
  </si>
  <si>
    <r>
      <t xml:space="preserve">Figures 3.1 to 3.4 show the data graphically for vintages from 1991 to 2017. The pooled average </t>
    </r>
    <r>
      <rPr>
        <sz val="11"/>
        <color rgb="FFFF0000"/>
        <rFont val="Calibri"/>
        <family val="2"/>
        <scheme val="minor"/>
      </rPr>
      <t xml:space="preserve">puts all the fund cash flows of a vintage year together </t>
    </r>
    <r>
      <rPr>
        <sz val="11"/>
        <color theme="1"/>
        <rFont val="Calibri"/>
        <family val="2"/>
        <scheme val="minor"/>
      </rPr>
      <t>and is closer to a value-weighted average. These</t>
    </r>
  </si>
  <si>
    <t>"성과통계1"</t>
  </si>
  <si>
    <t>GK, MOIC mean</t>
  </si>
  <si>
    <t>GK, MOIC median</t>
  </si>
  <si>
    <t>GK, PME mean</t>
  </si>
  <si>
    <t>GK, PME median</t>
  </si>
  <si>
    <t>JKW, MOIC mean</t>
  </si>
  <si>
    <t>JKM, MOIC median</t>
  </si>
  <si>
    <t>JKW, PME mean</t>
  </si>
  <si>
    <t>JKW, PME median</t>
  </si>
  <si>
    <t>Kaplan Presentation</t>
  </si>
  <si>
    <t>Jenkinson et al. 과 성과 차이가 있는데, aggregate하는 방식에 따른 것은 아닐까? 하지만 MOIC는 영향을 받지 않는다</t>
  </si>
  <si>
    <t>X</t>
  </si>
  <si>
    <t>Y1</t>
  </si>
  <si>
    <t>Z</t>
  </si>
  <si>
    <t>Firm</t>
  </si>
  <si>
    <t>XYZ</t>
  </si>
  <si>
    <t>(gross)</t>
  </si>
  <si>
    <t>(net)</t>
  </si>
  <si>
    <t>IMIRR</t>
  </si>
  <si>
    <t>Duration</t>
  </si>
  <si>
    <t>Phalipou, 2009</t>
  </si>
  <si>
    <t>Y</t>
  </si>
  <si>
    <t>Market</t>
  </si>
  <si>
    <t xml:space="preserve">the average IRR is different than the IRR of the aggregated cash flows </t>
  </si>
  <si>
    <t>Case 2</t>
  </si>
  <si>
    <t>Case 3</t>
  </si>
  <si>
    <t>Table 1</t>
  </si>
  <si>
    <t>Table 2</t>
  </si>
  <si>
    <t>Table 3</t>
  </si>
  <si>
    <t>Sell all</t>
  </si>
  <si>
    <t>Keep all(20%)</t>
  </si>
  <si>
    <t>Early dividend(10%)</t>
  </si>
  <si>
    <t>Fees 4%</t>
  </si>
  <si>
    <t>for MIRR</t>
  </si>
  <si>
    <t>reinvestment=12%</t>
  </si>
  <si>
    <t>Table 5</t>
  </si>
  <si>
    <t>Project A</t>
  </si>
  <si>
    <t xml:space="preserve">1) the average IRR is different than the IRR of the aggregated cash flows </t>
  </si>
  <si>
    <t>2) last year (12) distribution does not contribute much to IRR. Can distort incentive, but tradeoff with carried interest</t>
  </si>
  <si>
    <t xml:space="preserve"> &lt;- 실제 각 펀드에 100을 투자했을 때 얻는 수익률</t>
  </si>
  <si>
    <t xml:space="preserve"> &lt;- 마케팅용으로 사용하기 쉬움</t>
  </si>
  <si>
    <t>25*(130/110)-15*(130/115)</t>
  </si>
  <si>
    <t>25*(115/100)-15</t>
  </si>
  <si>
    <t>25*(115/100)-λ*15</t>
  </si>
  <si>
    <t>25*(130/110)-λ*15*(130/115)</t>
  </si>
  <si>
    <t>0과 1시점에 NAV(PE)추정치가 있어야 한다</t>
  </si>
  <si>
    <t>weight</t>
  </si>
  <si>
    <t>D(weight)=w*(25*(115/100)+0)</t>
  </si>
  <si>
    <t>16.4*(130/115)-w*(16.4*(130/115))</t>
  </si>
  <si>
    <t>25*(115/100)-w*(25*(115/100))</t>
  </si>
  <si>
    <t>Direct
Alpha</t>
  </si>
  <si>
    <t>PV(C)</t>
  </si>
  <si>
    <t>PV(D)</t>
  </si>
  <si>
    <t>You can do better.</t>
  </si>
  <si>
    <t>Perhaps, you can consider investing distributions</t>
  </si>
  <si>
    <t>on a market index</t>
  </si>
  <si>
    <t>Or investing uncommited capital on an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</si>
</sst>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164" formatCode="0.000"/>
    <numFmt numFmtId="165" formatCode="0.0%"/>
    <numFmt numFmtId="168" formatCode="0.0"/>
    <numFmt numFmtId="173" formatCode="#,##0.00_ ;[Red]\-#,##0.00\ 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108">
    <xf numFmtId="0" fontId="0" fillId="0" borderId="0" xfId="0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0" xfId="0" applyFill="1" applyAlignment="1">
      <alignment horizontal="center"/>
    </xf>
    <xf numFmtId="165" fontId="0" fillId="2" borderId="1" xfId="0" applyNumberFormat="1" applyFill="1" applyBorder="1"/>
    <xf numFmtId="165" fontId="0" fillId="2" borderId="0" xfId="0" applyNumberFormat="1" applyFill="1" applyBorder="1"/>
    <xf numFmtId="165" fontId="0" fillId="2" borderId="2" xfId="0" applyNumberFormat="1" applyFill="1" applyBorder="1"/>
    <xf numFmtId="165" fontId="0" fillId="2" borderId="0" xfId="0" applyNumberFormat="1" applyFill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2" fontId="0" fillId="2" borderId="1" xfId="0" applyNumberFormat="1" applyFill="1" applyBorder="1"/>
    <xf numFmtId="2" fontId="0" fillId="2" borderId="0" xfId="0" applyNumberFormat="1" applyFill="1" applyBorder="1"/>
    <xf numFmtId="2" fontId="0" fillId="2" borderId="2" xfId="0" applyNumberFormat="1" applyFill="1" applyBorder="1"/>
    <xf numFmtId="2" fontId="0" fillId="2" borderId="0" xfId="0" applyNumberFormat="1" applyFill="1"/>
    <xf numFmtId="1" fontId="0" fillId="0" borderId="0" xfId="0" applyNumberFormat="1"/>
    <xf numFmtId="0" fontId="0" fillId="0" borderId="3" xfId="0" applyBorder="1"/>
    <xf numFmtId="9" fontId="0" fillId="0" borderId="4" xfId="0" applyNumberFormat="1" applyBorder="1"/>
    <xf numFmtId="0" fontId="0" fillId="0" borderId="5" xfId="0" applyBorder="1"/>
    <xf numFmtId="9" fontId="0" fillId="0" borderId="6" xfId="0" applyNumberFormat="1" applyBorder="1"/>
    <xf numFmtId="14" fontId="0" fillId="0" borderId="0" xfId="0" applyNumberFormat="1"/>
    <xf numFmtId="168" fontId="0" fillId="0" borderId="0" xfId="0" applyNumberFormat="1"/>
    <xf numFmtId="0" fontId="0" fillId="3" borderId="0" xfId="0" applyFill="1"/>
    <xf numFmtId="8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Alignment="1"/>
    <xf numFmtId="0" fontId="0" fillId="0" borderId="7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0" fontId="0" fillId="0" borderId="7" xfId="2" applyNumberFormat="1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9" xfId="0" applyNumberForma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8" fontId="0" fillId="2" borderId="2" xfId="0" applyNumberForma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5" borderId="0" xfId="0" applyFill="1"/>
    <xf numFmtId="0" fontId="0" fillId="0" borderId="0" xfId="0" applyFill="1"/>
    <xf numFmtId="165" fontId="0" fillId="0" borderId="0" xfId="0" applyNumberFormat="1" applyFill="1"/>
    <xf numFmtId="10" fontId="0" fillId="0" borderId="0" xfId="0" applyNumberFormat="1" applyFill="1"/>
    <xf numFmtId="1" fontId="0" fillId="0" borderId="0" xfId="0" applyNumberFormat="1" applyFill="1"/>
    <xf numFmtId="0" fontId="1" fillId="0" borderId="0" xfId="1"/>
    <xf numFmtId="0" fontId="4" fillId="0" borderId="0" xfId="0" applyFont="1" applyAlignment="1">
      <alignment horizontal="center"/>
    </xf>
    <xf numFmtId="2" fontId="4" fillId="0" borderId="0" xfId="0" applyNumberFormat="1" applyFont="1"/>
    <xf numFmtId="10" fontId="0" fillId="0" borderId="0" xfId="2" applyNumberFormat="1" applyFont="1"/>
    <xf numFmtId="10" fontId="4" fillId="0" borderId="0" xfId="2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 applyAlignment="1">
      <alignment vertical="center"/>
    </xf>
    <xf numFmtId="168" fontId="0" fillId="3" borderId="2" xfId="0" applyNumberFormat="1" applyFill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0" fillId="0" borderId="12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8" fontId="0" fillId="3" borderId="0" xfId="0" applyNumberFormat="1" applyFill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2" xfId="0" applyNumberFormat="1" applyFill="1" applyBorder="1"/>
    <xf numFmtId="0" fontId="0" fillId="6" borderId="0" xfId="0" applyFill="1"/>
    <xf numFmtId="2" fontId="0" fillId="0" borderId="13" xfId="0" applyNumberFormat="1" applyBorder="1" applyAlignment="1">
      <alignment horizontal="center"/>
    </xf>
    <xf numFmtId="165" fontId="0" fillId="0" borderId="13" xfId="2" applyNumberFormat="1" applyFont="1" applyBorder="1" applyAlignment="1">
      <alignment horizontal="center"/>
    </xf>
    <xf numFmtId="0" fontId="3" fillId="0" borderId="0" xfId="0" applyFont="1"/>
    <xf numFmtId="0" fontId="3" fillId="4" borderId="0" xfId="0" applyFont="1" applyFill="1"/>
    <xf numFmtId="0" fontId="0" fillId="4" borderId="0" xfId="0" applyFill="1"/>
    <xf numFmtId="9" fontId="3" fillId="0" borderId="0" xfId="0" applyNumberFormat="1" applyFont="1"/>
    <xf numFmtId="173" fontId="0" fillId="0" borderId="0" xfId="0" applyNumberFormat="1"/>
    <xf numFmtId="3" fontId="0" fillId="3" borderId="0" xfId="0" applyNumberFormat="1" applyFill="1"/>
    <xf numFmtId="2" fontId="3" fillId="0" borderId="0" xfId="0" applyNumberFormat="1" applyFont="1"/>
    <xf numFmtId="0" fontId="0" fillId="3" borderId="2" xfId="0" applyFill="1" applyBorder="1"/>
    <xf numFmtId="3" fontId="0" fillId="3" borderId="2" xfId="0" applyNumberFormat="1" applyFill="1" applyBorder="1"/>
    <xf numFmtId="0" fontId="0" fillId="0" borderId="1" xfId="0" applyBorder="1" applyAlignment="1">
      <alignment horizontal="center"/>
    </xf>
    <xf numFmtId="0" fontId="0" fillId="0" borderId="9" xfId="0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3">
    <cellStyle name="백분율" xfId="2" builtinId="5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TVPI (</a:t>
            </a:r>
            <a:r>
              <a:rPr lang="ko-KR" altLang="en-US"/>
              <a:t>중위수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성과통계!$D$5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성과통계!$C$7:$C$33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성과통계!$F$7:$F$33</c:f>
              <c:numCache>
                <c:formatCode>General</c:formatCode>
                <c:ptCount val="27"/>
                <c:pt idx="0">
                  <c:v>1.53</c:v>
                </c:pt>
                <c:pt idx="1">
                  <c:v>1.39</c:v>
                </c:pt>
                <c:pt idx="2">
                  <c:v>1.21</c:v>
                </c:pt>
                <c:pt idx="3">
                  <c:v>1.44</c:v>
                </c:pt>
                <c:pt idx="4">
                  <c:v>1.57</c:v>
                </c:pt>
                <c:pt idx="5">
                  <c:v>1.74</c:v>
                </c:pt>
                <c:pt idx="6">
                  <c:v>1.93</c:v>
                </c:pt>
                <c:pt idx="7">
                  <c:v>1.81</c:v>
                </c:pt>
                <c:pt idx="8">
                  <c:v>1.77</c:v>
                </c:pt>
                <c:pt idx="9">
                  <c:v>1.61</c:v>
                </c:pt>
                <c:pt idx="10">
                  <c:v>1.54</c:v>
                </c:pt>
                <c:pt idx="11">
                  <c:v>1.63</c:v>
                </c:pt>
                <c:pt idx="12">
                  <c:v>1.73</c:v>
                </c:pt>
                <c:pt idx="13">
                  <c:v>1.68</c:v>
                </c:pt>
                <c:pt idx="14">
                  <c:v>2.04</c:v>
                </c:pt>
                <c:pt idx="15">
                  <c:v>1.84</c:v>
                </c:pt>
                <c:pt idx="16">
                  <c:v>1.9</c:v>
                </c:pt>
                <c:pt idx="17">
                  <c:v>1.81</c:v>
                </c:pt>
                <c:pt idx="18">
                  <c:v>1.76</c:v>
                </c:pt>
                <c:pt idx="19">
                  <c:v>1.67</c:v>
                </c:pt>
                <c:pt idx="20">
                  <c:v>1.5</c:v>
                </c:pt>
                <c:pt idx="21">
                  <c:v>1.53</c:v>
                </c:pt>
                <c:pt idx="22">
                  <c:v>1.54</c:v>
                </c:pt>
                <c:pt idx="23">
                  <c:v>1.26</c:v>
                </c:pt>
                <c:pt idx="24">
                  <c:v>1.1299999999999999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2-4163-A752-0C05F9F2131A}"/>
            </c:ext>
          </c:extLst>
        </c:ser>
        <c:ser>
          <c:idx val="1"/>
          <c:order val="1"/>
          <c:tx>
            <c:strRef>
              <c:f>성과통계!$H$5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성과통계!$C$7:$C$33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성과통계!$J$7:$J$33</c:f>
              <c:numCache>
                <c:formatCode>General</c:formatCode>
                <c:ptCount val="27"/>
                <c:pt idx="0">
                  <c:v>0.6</c:v>
                </c:pt>
                <c:pt idx="1">
                  <c:v>1.8</c:v>
                </c:pt>
                <c:pt idx="2">
                  <c:v>1.83</c:v>
                </c:pt>
                <c:pt idx="3">
                  <c:v>1.53</c:v>
                </c:pt>
                <c:pt idx="4">
                  <c:v>1.65</c:v>
                </c:pt>
                <c:pt idx="5">
                  <c:v>1.72</c:v>
                </c:pt>
                <c:pt idx="6">
                  <c:v>1.94</c:v>
                </c:pt>
                <c:pt idx="7">
                  <c:v>1.91</c:v>
                </c:pt>
                <c:pt idx="8">
                  <c:v>1.78</c:v>
                </c:pt>
                <c:pt idx="9">
                  <c:v>1.8</c:v>
                </c:pt>
                <c:pt idx="10">
                  <c:v>1.45</c:v>
                </c:pt>
                <c:pt idx="11">
                  <c:v>1.58</c:v>
                </c:pt>
                <c:pt idx="12">
                  <c:v>1.5</c:v>
                </c:pt>
                <c:pt idx="13">
                  <c:v>1.56</c:v>
                </c:pt>
                <c:pt idx="14">
                  <c:v>1.74</c:v>
                </c:pt>
                <c:pt idx="15">
                  <c:v>1.73</c:v>
                </c:pt>
                <c:pt idx="16">
                  <c:v>1.78</c:v>
                </c:pt>
                <c:pt idx="17">
                  <c:v>1.63</c:v>
                </c:pt>
                <c:pt idx="18">
                  <c:v>1.58</c:v>
                </c:pt>
                <c:pt idx="19">
                  <c:v>1.53</c:v>
                </c:pt>
                <c:pt idx="20">
                  <c:v>1.52</c:v>
                </c:pt>
                <c:pt idx="21">
                  <c:v>1.39</c:v>
                </c:pt>
                <c:pt idx="22">
                  <c:v>1.21</c:v>
                </c:pt>
                <c:pt idx="23">
                  <c:v>1.1499999999999999</c:v>
                </c:pt>
                <c:pt idx="24">
                  <c:v>0.94</c:v>
                </c:pt>
                <c:pt idx="25">
                  <c:v>0.87</c:v>
                </c:pt>
                <c:pt idx="26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2-4163-A752-0C05F9F2131A}"/>
            </c:ext>
          </c:extLst>
        </c:ser>
        <c:ser>
          <c:idx val="2"/>
          <c:order val="2"/>
          <c:tx>
            <c:strRef>
              <c:f>성과통계!$L$5</c:f>
              <c:strCache>
                <c:ptCount val="1"/>
                <c:pt idx="0">
                  <c:v>Asia 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성과통계!$C$7:$C$33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성과통계!$N$7:$N$33</c:f>
              <c:numCache>
                <c:formatCode>General</c:formatCode>
                <c:ptCount val="27"/>
                <c:pt idx="0">
                  <c:v>0.84</c:v>
                </c:pt>
                <c:pt idx="1">
                  <c:v>1.08</c:v>
                </c:pt>
                <c:pt idx="2">
                  <c:v>1.5</c:v>
                </c:pt>
                <c:pt idx="3">
                  <c:v>1.38</c:v>
                </c:pt>
                <c:pt idx="4">
                  <c:v>1.04</c:v>
                </c:pt>
                <c:pt idx="5">
                  <c:v>1.58</c:v>
                </c:pt>
                <c:pt idx="6">
                  <c:v>3.11</c:v>
                </c:pt>
                <c:pt idx="7">
                  <c:v>2.36</c:v>
                </c:pt>
                <c:pt idx="9">
                  <c:v>1.67</c:v>
                </c:pt>
                <c:pt idx="10">
                  <c:v>1.48</c:v>
                </c:pt>
                <c:pt idx="11">
                  <c:v>1.31</c:v>
                </c:pt>
                <c:pt idx="12">
                  <c:v>1.54</c:v>
                </c:pt>
                <c:pt idx="13">
                  <c:v>1.5</c:v>
                </c:pt>
                <c:pt idx="14">
                  <c:v>1.47</c:v>
                </c:pt>
                <c:pt idx="15">
                  <c:v>1.48</c:v>
                </c:pt>
                <c:pt idx="16">
                  <c:v>1.81</c:v>
                </c:pt>
                <c:pt idx="17">
                  <c:v>1.62</c:v>
                </c:pt>
                <c:pt idx="18">
                  <c:v>1.48</c:v>
                </c:pt>
                <c:pt idx="19">
                  <c:v>1.5</c:v>
                </c:pt>
                <c:pt idx="20">
                  <c:v>1.4</c:v>
                </c:pt>
                <c:pt idx="21">
                  <c:v>1.43</c:v>
                </c:pt>
                <c:pt idx="22">
                  <c:v>1.59</c:v>
                </c:pt>
                <c:pt idx="23">
                  <c:v>1</c:v>
                </c:pt>
                <c:pt idx="24">
                  <c:v>1.1299999999999999</c:v>
                </c:pt>
                <c:pt idx="25">
                  <c:v>0.99</c:v>
                </c:pt>
                <c:pt idx="26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2-4163-A752-0C05F9F2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529199"/>
        <c:axId val="349525455"/>
      </c:lineChart>
      <c:catAx>
        <c:axId val="3495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5455"/>
        <c:crosses val="autoZero"/>
        <c:auto val="1"/>
        <c:lblAlgn val="ctr"/>
        <c:lblOffset val="100"/>
        <c:noMultiLvlLbl val="0"/>
      </c:catAx>
      <c:valAx>
        <c:axId val="3495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PME (</a:t>
            </a:r>
            <a:r>
              <a:rPr lang="ko-KR" altLang="en-US"/>
              <a:t>중위수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성과통계!$D$36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성과통계!$C$38:$C$64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성과통계!$F$38:$F$64</c:f>
              <c:numCache>
                <c:formatCode>General</c:formatCode>
                <c:ptCount val="27"/>
                <c:pt idx="0">
                  <c:v>1.03</c:v>
                </c:pt>
                <c:pt idx="1">
                  <c:v>1.1100000000000001</c:v>
                </c:pt>
                <c:pt idx="2">
                  <c:v>1.03</c:v>
                </c:pt>
                <c:pt idx="3">
                  <c:v>1.44</c:v>
                </c:pt>
                <c:pt idx="4">
                  <c:v>1.39</c:v>
                </c:pt>
                <c:pt idx="5">
                  <c:v>1.34</c:v>
                </c:pt>
                <c:pt idx="6">
                  <c:v>1.52</c:v>
                </c:pt>
                <c:pt idx="7">
                  <c:v>1.32</c:v>
                </c:pt>
                <c:pt idx="8">
                  <c:v>1.33</c:v>
                </c:pt>
                <c:pt idx="9">
                  <c:v>1.25</c:v>
                </c:pt>
                <c:pt idx="10">
                  <c:v>1.05</c:v>
                </c:pt>
                <c:pt idx="11">
                  <c:v>1.08</c:v>
                </c:pt>
                <c:pt idx="12">
                  <c:v>1.08</c:v>
                </c:pt>
                <c:pt idx="13">
                  <c:v>0.93</c:v>
                </c:pt>
                <c:pt idx="14">
                  <c:v>1.19</c:v>
                </c:pt>
                <c:pt idx="15">
                  <c:v>1.01</c:v>
                </c:pt>
                <c:pt idx="16">
                  <c:v>1.1399999999999999</c:v>
                </c:pt>
                <c:pt idx="17">
                  <c:v>1.1200000000000001</c:v>
                </c:pt>
                <c:pt idx="18">
                  <c:v>1.1000000000000001</c:v>
                </c:pt>
                <c:pt idx="19">
                  <c:v>1.05</c:v>
                </c:pt>
                <c:pt idx="20">
                  <c:v>1.03</c:v>
                </c:pt>
                <c:pt idx="21">
                  <c:v>1.06</c:v>
                </c:pt>
                <c:pt idx="22">
                  <c:v>1.1200000000000001</c:v>
                </c:pt>
                <c:pt idx="23">
                  <c:v>0.98</c:v>
                </c:pt>
                <c:pt idx="24">
                  <c:v>0.92</c:v>
                </c:pt>
                <c:pt idx="25">
                  <c:v>0.87</c:v>
                </c:pt>
                <c:pt idx="2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9-4D4A-8F1F-FF630F28B01D}"/>
            </c:ext>
          </c:extLst>
        </c:ser>
        <c:ser>
          <c:idx val="1"/>
          <c:order val="1"/>
          <c:tx>
            <c:strRef>
              <c:f>성과통계!$H$36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성과통계!$C$38:$C$64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성과통계!$J$38:$J$64</c:f>
              <c:numCache>
                <c:formatCode>General</c:formatCode>
                <c:ptCount val="27"/>
                <c:pt idx="0">
                  <c:v>0.43</c:v>
                </c:pt>
                <c:pt idx="1">
                  <c:v>1.47</c:v>
                </c:pt>
                <c:pt idx="2">
                  <c:v>1.52</c:v>
                </c:pt>
                <c:pt idx="3">
                  <c:v>1.47</c:v>
                </c:pt>
                <c:pt idx="4">
                  <c:v>1.37</c:v>
                </c:pt>
                <c:pt idx="5">
                  <c:v>1.39</c:v>
                </c:pt>
                <c:pt idx="6">
                  <c:v>1.44</c:v>
                </c:pt>
                <c:pt idx="7">
                  <c:v>1.43</c:v>
                </c:pt>
                <c:pt idx="8">
                  <c:v>1.43</c:v>
                </c:pt>
                <c:pt idx="9">
                  <c:v>1.39</c:v>
                </c:pt>
                <c:pt idx="10">
                  <c:v>1.21</c:v>
                </c:pt>
                <c:pt idx="11">
                  <c:v>1.21</c:v>
                </c:pt>
                <c:pt idx="12">
                  <c:v>1.19</c:v>
                </c:pt>
                <c:pt idx="13">
                  <c:v>1.07</c:v>
                </c:pt>
                <c:pt idx="14">
                  <c:v>1.19</c:v>
                </c:pt>
                <c:pt idx="15">
                  <c:v>1.24</c:v>
                </c:pt>
                <c:pt idx="16">
                  <c:v>1.29</c:v>
                </c:pt>
                <c:pt idx="17">
                  <c:v>1.3</c:v>
                </c:pt>
                <c:pt idx="18">
                  <c:v>1.28</c:v>
                </c:pt>
                <c:pt idx="19">
                  <c:v>1.32</c:v>
                </c:pt>
                <c:pt idx="20">
                  <c:v>1.26</c:v>
                </c:pt>
                <c:pt idx="21">
                  <c:v>1.23</c:v>
                </c:pt>
                <c:pt idx="22">
                  <c:v>1.06</c:v>
                </c:pt>
                <c:pt idx="23">
                  <c:v>1.04</c:v>
                </c:pt>
                <c:pt idx="24">
                  <c:v>0.87</c:v>
                </c:pt>
                <c:pt idx="25">
                  <c:v>0.76</c:v>
                </c:pt>
                <c:pt idx="26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9-4D4A-8F1F-FF630F28B01D}"/>
            </c:ext>
          </c:extLst>
        </c:ser>
        <c:ser>
          <c:idx val="2"/>
          <c:order val="2"/>
          <c:tx>
            <c:strRef>
              <c:f>성과통계!$L$36</c:f>
              <c:strCache>
                <c:ptCount val="1"/>
                <c:pt idx="0">
                  <c:v>Asia 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성과통계!$C$38:$C$64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성과통계!$N$38:$N$64</c:f>
              <c:numCache>
                <c:formatCode>General</c:formatCode>
                <c:ptCount val="27"/>
                <c:pt idx="0">
                  <c:v>0.68</c:v>
                </c:pt>
                <c:pt idx="1">
                  <c:v>0.94</c:v>
                </c:pt>
                <c:pt idx="2">
                  <c:v>1.26</c:v>
                </c:pt>
                <c:pt idx="3">
                  <c:v>1.1399999999999999</c:v>
                </c:pt>
                <c:pt idx="4">
                  <c:v>1.06</c:v>
                </c:pt>
                <c:pt idx="5">
                  <c:v>1.34</c:v>
                </c:pt>
                <c:pt idx="6">
                  <c:v>2.68</c:v>
                </c:pt>
                <c:pt idx="7">
                  <c:v>1.99</c:v>
                </c:pt>
                <c:pt idx="8">
                  <c:v>1.51</c:v>
                </c:pt>
                <c:pt idx="9">
                  <c:v>1.3</c:v>
                </c:pt>
                <c:pt idx="10">
                  <c:v>0.93</c:v>
                </c:pt>
                <c:pt idx="11">
                  <c:v>1.04</c:v>
                </c:pt>
                <c:pt idx="12">
                  <c:v>0.93</c:v>
                </c:pt>
                <c:pt idx="13">
                  <c:v>0.88</c:v>
                </c:pt>
                <c:pt idx="14">
                  <c:v>0.8</c:v>
                </c:pt>
                <c:pt idx="15">
                  <c:v>1.07</c:v>
                </c:pt>
                <c:pt idx="16">
                  <c:v>1.04</c:v>
                </c:pt>
                <c:pt idx="17">
                  <c:v>1.0900000000000001</c:v>
                </c:pt>
                <c:pt idx="18">
                  <c:v>1.1100000000000001</c:v>
                </c:pt>
                <c:pt idx="19">
                  <c:v>1.01</c:v>
                </c:pt>
                <c:pt idx="20">
                  <c:v>1.02</c:v>
                </c:pt>
                <c:pt idx="21">
                  <c:v>1.25</c:v>
                </c:pt>
                <c:pt idx="22">
                  <c:v>0.83</c:v>
                </c:pt>
                <c:pt idx="23">
                  <c:v>0.93</c:v>
                </c:pt>
                <c:pt idx="24">
                  <c:v>0.77</c:v>
                </c:pt>
                <c:pt idx="25">
                  <c:v>0.91</c:v>
                </c:pt>
                <c:pt idx="26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29-4D4A-8F1F-FF630F28B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063887"/>
        <c:axId val="220064719"/>
      </c:lineChart>
      <c:catAx>
        <c:axId val="2200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64719"/>
        <c:crosses val="autoZero"/>
        <c:auto val="1"/>
        <c:lblAlgn val="ctr"/>
        <c:lblOffset val="100"/>
        <c:noMultiLvlLbl val="0"/>
      </c:catAx>
      <c:valAx>
        <c:axId val="2200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6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TVPI (</a:t>
            </a:r>
            <a:r>
              <a:rPr lang="ko-KR" altLang="en-US"/>
              <a:t>평균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성과통계!$D$5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성과통계!$C$7:$C$33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성과통계!$D$7:$D$33</c:f>
              <c:numCache>
                <c:formatCode>General</c:formatCode>
                <c:ptCount val="27"/>
                <c:pt idx="0">
                  <c:v>1.59</c:v>
                </c:pt>
                <c:pt idx="1">
                  <c:v>1.71</c:v>
                </c:pt>
                <c:pt idx="2">
                  <c:v>1.51</c:v>
                </c:pt>
                <c:pt idx="3">
                  <c:v>1.31</c:v>
                </c:pt>
                <c:pt idx="4">
                  <c:v>1.46</c:v>
                </c:pt>
                <c:pt idx="5">
                  <c:v>1.85</c:v>
                </c:pt>
                <c:pt idx="6">
                  <c:v>1.97</c:v>
                </c:pt>
                <c:pt idx="7">
                  <c:v>1.93</c:v>
                </c:pt>
                <c:pt idx="8">
                  <c:v>2.06</c:v>
                </c:pt>
                <c:pt idx="9">
                  <c:v>1.79</c:v>
                </c:pt>
                <c:pt idx="10">
                  <c:v>1.61</c:v>
                </c:pt>
                <c:pt idx="11">
                  <c:v>1.56</c:v>
                </c:pt>
                <c:pt idx="12">
                  <c:v>1.71</c:v>
                </c:pt>
                <c:pt idx="13">
                  <c:v>1.7</c:v>
                </c:pt>
                <c:pt idx="14">
                  <c:v>2.09</c:v>
                </c:pt>
                <c:pt idx="15">
                  <c:v>1.84</c:v>
                </c:pt>
                <c:pt idx="16">
                  <c:v>2.06</c:v>
                </c:pt>
                <c:pt idx="17">
                  <c:v>1.87</c:v>
                </c:pt>
                <c:pt idx="18">
                  <c:v>1.85</c:v>
                </c:pt>
                <c:pt idx="19">
                  <c:v>1.92</c:v>
                </c:pt>
                <c:pt idx="20">
                  <c:v>1.76</c:v>
                </c:pt>
                <c:pt idx="21">
                  <c:v>1.62</c:v>
                </c:pt>
                <c:pt idx="22">
                  <c:v>1.64</c:v>
                </c:pt>
                <c:pt idx="23">
                  <c:v>1.35</c:v>
                </c:pt>
                <c:pt idx="24">
                  <c:v>1.28</c:v>
                </c:pt>
                <c:pt idx="25">
                  <c:v>1.0900000000000001</c:v>
                </c:pt>
                <c:pt idx="26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F-48C4-A099-AE3C98258344}"/>
            </c:ext>
          </c:extLst>
        </c:ser>
        <c:ser>
          <c:idx val="1"/>
          <c:order val="1"/>
          <c:tx>
            <c:strRef>
              <c:f>성과통계!$H$5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성과통계!$C$7:$C$33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성과통계!$H$7:$H$33</c:f>
              <c:numCache>
                <c:formatCode>General</c:formatCode>
                <c:ptCount val="27"/>
                <c:pt idx="0">
                  <c:v>0.59</c:v>
                </c:pt>
                <c:pt idx="1">
                  <c:v>1.93</c:v>
                </c:pt>
                <c:pt idx="2">
                  <c:v>1.96</c:v>
                </c:pt>
                <c:pt idx="3">
                  <c:v>2.09</c:v>
                </c:pt>
                <c:pt idx="4">
                  <c:v>1.85</c:v>
                </c:pt>
                <c:pt idx="5">
                  <c:v>2.17</c:v>
                </c:pt>
                <c:pt idx="6">
                  <c:v>2.15</c:v>
                </c:pt>
                <c:pt idx="7">
                  <c:v>2.15</c:v>
                </c:pt>
                <c:pt idx="8">
                  <c:v>2.09</c:v>
                </c:pt>
                <c:pt idx="9">
                  <c:v>1.68</c:v>
                </c:pt>
                <c:pt idx="10">
                  <c:v>1.57</c:v>
                </c:pt>
                <c:pt idx="11">
                  <c:v>1.29</c:v>
                </c:pt>
                <c:pt idx="12">
                  <c:v>1.41</c:v>
                </c:pt>
                <c:pt idx="13">
                  <c:v>1.62</c:v>
                </c:pt>
                <c:pt idx="14">
                  <c:v>1.53</c:v>
                </c:pt>
                <c:pt idx="15">
                  <c:v>1.47</c:v>
                </c:pt>
                <c:pt idx="16">
                  <c:v>1.67</c:v>
                </c:pt>
                <c:pt idx="17">
                  <c:v>1.73</c:v>
                </c:pt>
                <c:pt idx="18">
                  <c:v>1.61</c:v>
                </c:pt>
                <c:pt idx="19">
                  <c:v>1.85</c:v>
                </c:pt>
                <c:pt idx="20">
                  <c:v>1.6</c:v>
                </c:pt>
                <c:pt idx="21">
                  <c:v>1.51</c:v>
                </c:pt>
                <c:pt idx="22">
                  <c:v>1.48</c:v>
                </c:pt>
                <c:pt idx="23">
                  <c:v>1.31</c:v>
                </c:pt>
                <c:pt idx="24">
                  <c:v>1.1299999999999999</c:v>
                </c:pt>
                <c:pt idx="25">
                  <c:v>1.28</c:v>
                </c:pt>
                <c:pt idx="26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F-48C4-A099-AE3C98258344}"/>
            </c:ext>
          </c:extLst>
        </c:ser>
        <c:ser>
          <c:idx val="2"/>
          <c:order val="2"/>
          <c:tx>
            <c:strRef>
              <c:f>성과통계!$L$5</c:f>
              <c:strCache>
                <c:ptCount val="1"/>
                <c:pt idx="0">
                  <c:v>Asia 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성과통계!$C$7:$C$33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성과통계!$L$7:$L$33</c:f>
              <c:numCache>
                <c:formatCode>General</c:formatCode>
                <c:ptCount val="27"/>
                <c:pt idx="0">
                  <c:v>0.88</c:v>
                </c:pt>
                <c:pt idx="1">
                  <c:v>1.08</c:v>
                </c:pt>
                <c:pt idx="2">
                  <c:v>1.46</c:v>
                </c:pt>
                <c:pt idx="3">
                  <c:v>1.1399999999999999</c:v>
                </c:pt>
                <c:pt idx="4">
                  <c:v>1.08</c:v>
                </c:pt>
                <c:pt idx="5">
                  <c:v>1.87</c:v>
                </c:pt>
                <c:pt idx="6">
                  <c:v>3.59</c:v>
                </c:pt>
                <c:pt idx="7">
                  <c:v>2.84</c:v>
                </c:pt>
                <c:pt idx="9">
                  <c:v>1.73</c:v>
                </c:pt>
                <c:pt idx="10">
                  <c:v>1.51</c:v>
                </c:pt>
                <c:pt idx="11">
                  <c:v>1.35</c:v>
                </c:pt>
                <c:pt idx="12">
                  <c:v>1.73</c:v>
                </c:pt>
                <c:pt idx="13">
                  <c:v>1.37</c:v>
                </c:pt>
                <c:pt idx="14">
                  <c:v>1.2</c:v>
                </c:pt>
                <c:pt idx="15">
                  <c:v>1.52</c:v>
                </c:pt>
                <c:pt idx="16">
                  <c:v>1.38</c:v>
                </c:pt>
                <c:pt idx="17">
                  <c:v>1.77</c:v>
                </c:pt>
                <c:pt idx="18">
                  <c:v>1.53</c:v>
                </c:pt>
                <c:pt idx="19">
                  <c:v>1.48</c:v>
                </c:pt>
                <c:pt idx="20">
                  <c:v>1.38</c:v>
                </c:pt>
                <c:pt idx="21">
                  <c:v>1.49</c:v>
                </c:pt>
                <c:pt idx="22">
                  <c:v>1.58</c:v>
                </c:pt>
                <c:pt idx="23">
                  <c:v>1.24</c:v>
                </c:pt>
                <c:pt idx="24">
                  <c:v>1.26</c:v>
                </c:pt>
                <c:pt idx="25">
                  <c:v>1.01</c:v>
                </c:pt>
                <c:pt idx="26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EF-48C4-A099-AE3C9825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529199"/>
        <c:axId val="349525455"/>
      </c:lineChart>
      <c:catAx>
        <c:axId val="3495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5455"/>
        <c:crosses val="autoZero"/>
        <c:auto val="1"/>
        <c:lblAlgn val="ctr"/>
        <c:lblOffset val="100"/>
        <c:noMultiLvlLbl val="0"/>
      </c:catAx>
      <c:valAx>
        <c:axId val="3495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PME (</a:t>
            </a:r>
            <a:r>
              <a:rPr lang="ko-KR" altLang="en-US"/>
              <a:t>평균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성과통계!$D$36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성과통계!$C$38:$C$64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성과통계!$D$38:$D$64</c:f>
              <c:numCache>
                <c:formatCode>General</c:formatCode>
                <c:ptCount val="27"/>
                <c:pt idx="0">
                  <c:v>1.1100000000000001</c:v>
                </c:pt>
                <c:pt idx="1">
                  <c:v>1.27</c:v>
                </c:pt>
                <c:pt idx="2">
                  <c:v>1.24</c:v>
                </c:pt>
                <c:pt idx="3">
                  <c:v>1.2</c:v>
                </c:pt>
                <c:pt idx="4">
                  <c:v>1.27</c:v>
                </c:pt>
                <c:pt idx="5">
                  <c:v>1.4</c:v>
                </c:pt>
                <c:pt idx="6">
                  <c:v>1.47</c:v>
                </c:pt>
                <c:pt idx="7">
                  <c:v>1.42</c:v>
                </c:pt>
                <c:pt idx="8">
                  <c:v>1.55</c:v>
                </c:pt>
                <c:pt idx="9">
                  <c:v>1.35</c:v>
                </c:pt>
                <c:pt idx="10">
                  <c:v>1.1499999999999999</c:v>
                </c:pt>
                <c:pt idx="11">
                  <c:v>1.01</c:v>
                </c:pt>
                <c:pt idx="12">
                  <c:v>1.02</c:v>
                </c:pt>
                <c:pt idx="13">
                  <c:v>1.02</c:v>
                </c:pt>
                <c:pt idx="14">
                  <c:v>1.17</c:v>
                </c:pt>
                <c:pt idx="15">
                  <c:v>1.01</c:v>
                </c:pt>
                <c:pt idx="16">
                  <c:v>1.1299999999999999</c:v>
                </c:pt>
                <c:pt idx="17">
                  <c:v>1.1299999999999999</c:v>
                </c:pt>
                <c:pt idx="18">
                  <c:v>1.1299999999999999</c:v>
                </c:pt>
                <c:pt idx="19">
                  <c:v>1.2</c:v>
                </c:pt>
                <c:pt idx="20">
                  <c:v>1.1299999999999999</c:v>
                </c:pt>
                <c:pt idx="21">
                  <c:v>1.05</c:v>
                </c:pt>
                <c:pt idx="22">
                  <c:v>1.1599999999999999</c:v>
                </c:pt>
                <c:pt idx="23">
                  <c:v>1.02</c:v>
                </c:pt>
                <c:pt idx="24">
                  <c:v>1.02</c:v>
                </c:pt>
                <c:pt idx="25">
                  <c:v>0.93</c:v>
                </c:pt>
                <c:pt idx="26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E-47C8-BDA1-78F1AA7AA382}"/>
            </c:ext>
          </c:extLst>
        </c:ser>
        <c:ser>
          <c:idx val="1"/>
          <c:order val="1"/>
          <c:tx>
            <c:strRef>
              <c:f>성과통계!$H$36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성과통계!$C$38:$C$64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성과통계!$H$38:$H$64</c:f>
              <c:numCache>
                <c:formatCode>General</c:formatCode>
                <c:ptCount val="27"/>
                <c:pt idx="0">
                  <c:v>0.43</c:v>
                </c:pt>
                <c:pt idx="1">
                  <c:v>1.27</c:v>
                </c:pt>
                <c:pt idx="2">
                  <c:v>1.69</c:v>
                </c:pt>
                <c:pt idx="3">
                  <c:v>1.91</c:v>
                </c:pt>
                <c:pt idx="4">
                  <c:v>1.51</c:v>
                </c:pt>
                <c:pt idx="5">
                  <c:v>1.77</c:v>
                </c:pt>
                <c:pt idx="6">
                  <c:v>1.53</c:v>
                </c:pt>
                <c:pt idx="7">
                  <c:v>1.48</c:v>
                </c:pt>
                <c:pt idx="8">
                  <c:v>1.6</c:v>
                </c:pt>
                <c:pt idx="9">
                  <c:v>1.36</c:v>
                </c:pt>
                <c:pt idx="10">
                  <c:v>1.32</c:v>
                </c:pt>
                <c:pt idx="11">
                  <c:v>1.03</c:v>
                </c:pt>
                <c:pt idx="12">
                  <c:v>1.05</c:v>
                </c:pt>
                <c:pt idx="13">
                  <c:v>1.1200000000000001</c:v>
                </c:pt>
                <c:pt idx="14">
                  <c:v>1.06</c:v>
                </c:pt>
                <c:pt idx="15">
                  <c:v>0.98</c:v>
                </c:pt>
                <c:pt idx="16">
                  <c:v>1.17</c:v>
                </c:pt>
                <c:pt idx="17">
                  <c:v>1.26</c:v>
                </c:pt>
                <c:pt idx="18">
                  <c:v>1.24</c:v>
                </c:pt>
                <c:pt idx="19">
                  <c:v>1.47</c:v>
                </c:pt>
                <c:pt idx="20">
                  <c:v>1.32</c:v>
                </c:pt>
                <c:pt idx="21">
                  <c:v>1.25</c:v>
                </c:pt>
                <c:pt idx="22">
                  <c:v>1.27</c:v>
                </c:pt>
                <c:pt idx="23">
                  <c:v>1.1299999999999999</c:v>
                </c:pt>
                <c:pt idx="24">
                  <c:v>0.97</c:v>
                </c:pt>
                <c:pt idx="25">
                  <c:v>1.08</c:v>
                </c:pt>
                <c:pt idx="26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E-47C8-BDA1-78F1AA7AA382}"/>
            </c:ext>
          </c:extLst>
        </c:ser>
        <c:ser>
          <c:idx val="2"/>
          <c:order val="2"/>
          <c:tx>
            <c:strRef>
              <c:f>성과통계!$L$36</c:f>
              <c:strCache>
                <c:ptCount val="1"/>
                <c:pt idx="0">
                  <c:v>Asia 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성과통계!$C$38:$C$64</c:f>
              <c:numCache>
                <c:formatCode>General</c:formatCod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numCache>
            </c:numRef>
          </c:cat>
          <c:val>
            <c:numRef>
              <c:f>성과통계!$L$38:$L$64</c:f>
              <c:numCache>
                <c:formatCode>General</c:formatCode>
                <c:ptCount val="27"/>
                <c:pt idx="0">
                  <c:v>0.71</c:v>
                </c:pt>
                <c:pt idx="1">
                  <c:v>0.94</c:v>
                </c:pt>
                <c:pt idx="2">
                  <c:v>1.28</c:v>
                </c:pt>
                <c:pt idx="3">
                  <c:v>1.02</c:v>
                </c:pt>
                <c:pt idx="4">
                  <c:v>1.08</c:v>
                </c:pt>
                <c:pt idx="5">
                  <c:v>1.63</c:v>
                </c:pt>
                <c:pt idx="6">
                  <c:v>2.97</c:v>
                </c:pt>
                <c:pt idx="7">
                  <c:v>2.39</c:v>
                </c:pt>
                <c:pt idx="8">
                  <c:v>1.52</c:v>
                </c:pt>
                <c:pt idx="9">
                  <c:v>1.32</c:v>
                </c:pt>
                <c:pt idx="10">
                  <c:v>1.04</c:v>
                </c:pt>
                <c:pt idx="11">
                  <c:v>1.1200000000000001</c:v>
                </c:pt>
                <c:pt idx="12">
                  <c:v>0.92</c:v>
                </c:pt>
                <c:pt idx="13">
                  <c:v>0.74</c:v>
                </c:pt>
                <c:pt idx="14">
                  <c:v>0.88</c:v>
                </c:pt>
                <c:pt idx="15">
                  <c:v>0.88</c:v>
                </c:pt>
                <c:pt idx="16">
                  <c:v>1.1499999999999999</c:v>
                </c:pt>
                <c:pt idx="17">
                  <c:v>1.03</c:v>
                </c:pt>
                <c:pt idx="18">
                  <c:v>1.06</c:v>
                </c:pt>
                <c:pt idx="19">
                  <c:v>0.96</c:v>
                </c:pt>
                <c:pt idx="20">
                  <c:v>1.05</c:v>
                </c:pt>
                <c:pt idx="21">
                  <c:v>1.21</c:v>
                </c:pt>
                <c:pt idx="22">
                  <c:v>0.97</c:v>
                </c:pt>
                <c:pt idx="23">
                  <c:v>1.03</c:v>
                </c:pt>
                <c:pt idx="24">
                  <c:v>0.89</c:v>
                </c:pt>
                <c:pt idx="25">
                  <c:v>0.97</c:v>
                </c:pt>
                <c:pt idx="26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E-47C8-BDA1-78F1AA7AA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063887"/>
        <c:axId val="220064719"/>
      </c:lineChart>
      <c:catAx>
        <c:axId val="2200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64719"/>
        <c:crosses val="autoZero"/>
        <c:auto val="1"/>
        <c:lblAlgn val="ctr"/>
        <c:lblOffset val="100"/>
        <c:noMultiLvlLbl val="0"/>
      </c:catAx>
      <c:valAx>
        <c:axId val="2200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6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PME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성과통계2!$I$5</c:f>
              <c:strCache>
                <c:ptCount val="1"/>
                <c:pt idx="0">
                  <c:v>GK, PME 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성과통계2!$I$20:$I$42</c:f>
              <c:numCache>
                <c:formatCode>General</c:formatCode>
                <c:ptCount val="23"/>
                <c:pt idx="0">
                  <c:v>1.1200000000000001</c:v>
                </c:pt>
                <c:pt idx="1">
                  <c:v>1.3</c:v>
                </c:pt>
                <c:pt idx="2">
                  <c:v>1.24</c:v>
                </c:pt>
                <c:pt idx="3">
                  <c:v>1.21</c:v>
                </c:pt>
                <c:pt idx="4">
                  <c:v>1.26</c:v>
                </c:pt>
                <c:pt idx="5">
                  <c:v>1.39</c:v>
                </c:pt>
                <c:pt idx="6">
                  <c:v>1.47</c:v>
                </c:pt>
                <c:pt idx="7">
                  <c:v>1.41</c:v>
                </c:pt>
                <c:pt idx="8">
                  <c:v>1.55</c:v>
                </c:pt>
                <c:pt idx="9">
                  <c:v>1.35</c:v>
                </c:pt>
                <c:pt idx="10">
                  <c:v>1.1599999999999999</c:v>
                </c:pt>
                <c:pt idx="11">
                  <c:v>1.01</c:v>
                </c:pt>
                <c:pt idx="12">
                  <c:v>1.02</c:v>
                </c:pt>
                <c:pt idx="13">
                  <c:v>1.01</c:v>
                </c:pt>
                <c:pt idx="14">
                  <c:v>1.19</c:v>
                </c:pt>
                <c:pt idx="15">
                  <c:v>1.01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1.1499999999999999</c:v>
                </c:pt>
                <c:pt idx="19">
                  <c:v>1.25</c:v>
                </c:pt>
                <c:pt idx="20">
                  <c:v>1.18</c:v>
                </c:pt>
                <c:pt idx="21">
                  <c:v>1.1100000000000001</c:v>
                </c:pt>
                <c:pt idx="22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D-43B5-99BC-5DBDC6B1F630}"/>
            </c:ext>
          </c:extLst>
        </c:ser>
        <c:ser>
          <c:idx val="1"/>
          <c:order val="1"/>
          <c:tx>
            <c:strRef>
              <c:f>성과통계2!$J$5</c:f>
              <c:strCache>
                <c:ptCount val="1"/>
                <c:pt idx="0">
                  <c:v>GK, PME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성과통계2!$J$20:$J$42</c:f>
              <c:numCache>
                <c:formatCode>General</c:formatCode>
                <c:ptCount val="23"/>
                <c:pt idx="0">
                  <c:v>1.03</c:v>
                </c:pt>
                <c:pt idx="1">
                  <c:v>1.1399999999999999</c:v>
                </c:pt>
                <c:pt idx="2">
                  <c:v>1.04</c:v>
                </c:pt>
                <c:pt idx="3">
                  <c:v>1.44</c:v>
                </c:pt>
                <c:pt idx="4">
                  <c:v>1.37</c:v>
                </c:pt>
                <c:pt idx="5">
                  <c:v>1.32</c:v>
                </c:pt>
                <c:pt idx="6">
                  <c:v>1.47</c:v>
                </c:pt>
                <c:pt idx="7">
                  <c:v>1.29</c:v>
                </c:pt>
                <c:pt idx="8">
                  <c:v>1.34</c:v>
                </c:pt>
                <c:pt idx="9">
                  <c:v>1.26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0.92</c:v>
                </c:pt>
                <c:pt idx="14">
                  <c:v>1.24</c:v>
                </c:pt>
                <c:pt idx="15">
                  <c:v>1.03</c:v>
                </c:pt>
                <c:pt idx="16">
                  <c:v>1.1599999999999999</c:v>
                </c:pt>
                <c:pt idx="17">
                  <c:v>1.0900000000000001</c:v>
                </c:pt>
                <c:pt idx="18">
                  <c:v>1.1299999999999999</c:v>
                </c:pt>
                <c:pt idx="19">
                  <c:v>1.08</c:v>
                </c:pt>
                <c:pt idx="20">
                  <c:v>1.07</c:v>
                </c:pt>
                <c:pt idx="21">
                  <c:v>1.0900000000000001</c:v>
                </c:pt>
                <c:pt idx="22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D-43B5-99BC-5DBDC6B1F630}"/>
            </c:ext>
          </c:extLst>
        </c:ser>
        <c:ser>
          <c:idx val="2"/>
          <c:order val="2"/>
          <c:tx>
            <c:strRef>
              <c:f>성과통계2!$O$19</c:f>
              <c:strCache>
                <c:ptCount val="1"/>
                <c:pt idx="0">
                  <c:v>JKW, PME median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성과통계2!$O$20:$O$42</c:f>
              <c:numCache>
                <c:formatCode>General</c:formatCode>
                <c:ptCount val="23"/>
                <c:pt idx="0">
                  <c:v>0.43</c:v>
                </c:pt>
                <c:pt idx="1">
                  <c:v>1.27</c:v>
                </c:pt>
                <c:pt idx="2">
                  <c:v>1.69</c:v>
                </c:pt>
                <c:pt idx="3">
                  <c:v>1.91</c:v>
                </c:pt>
                <c:pt idx="4">
                  <c:v>1.51</c:v>
                </c:pt>
                <c:pt idx="5">
                  <c:v>1.77</c:v>
                </c:pt>
                <c:pt idx="6">
                  <c:v>1.53</c:v>
                </c:pt>
                <c:pt idx="7">
                  <c:v>1.48</c:v>
                </c:pt>
                <c:pt idx="8">
                  <c:v>1.6</c:v>
                </c:pt>
                <c:pt idx="9">
                  <c:v>1.36</c:v>
                </c:pt>
                <c:pt idx="10">
                  <c:v>1.32</c:v>
                </c:pt>
                <c:pt idx="11">
                  <c:v>1.03</c:v>
                </c:pt>
                <c:pt idx="12">
                  <c:v>1.05</c:v>
                </c:pt>
                <c:pt idx="13">
                  <c:v>1.1200000000000001</c:v>
                </c:pt>
                <c:pt idx="14">
                  <c:v>1.06</c:v>
                </c:pt>
                <c:pt idx="15">
                  <c:v>0.98</c:v>
                </c:pt>
                <c:pt idx="16">
                  <c:v>1.17</c:v>
                </c:pt>
                <c:pt idx="17">
                  <c:v>1.26</c:v>
                </c:pt>
                <c:pt idx="18">
                  <c:v>1.24</c:v>
                </c:pt>
                <c:pt idx="19">
                  <c:v>1.47</c:v>
                </c:pt>
                <c:pt idx="20">
                  <c:v>1.32</c:v>
                </c:pt>
                <c:pt idx="21">
                  <c:v>1.25</c:v>
                </c:pt>
                <c:pt idx="22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D-43B5-99BC-5DBDC6B1F630}"/>
            </c:ext>
          </c:extLst>
        </c:ser>
        <c:ser>
          <c:idx val="3"/>
          <c:order val="3"/>
          <c:tx>
            <c:strRef>
              <c:f>성과통계2!$N$19</c:f>
              <c:strCache>
                <c:ptCount val="1"/>
                <c:pt idx="0">
                  <c:v>JKW, PME mean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성과통계2!$N$20:$N$42</c:f>
              <c:numCache>
                <c:formatCode>General</c:formatCode>
                <c:ptCount val="23"/>
                <c:pt idx="0">
                  <c:v>1.1100000000000001</c:v>
                </c:pt>
                <c:pt idx="1">
                  <c:v>1.27</c:v>
                </c:pt>
                <c:pt idx="2">
                  <c:v>1.24</c:v>
                </c:pt>
                <c:pt idx="3">
                  <c:v>1.2</c:v>
                </c:pt>
                <c:pt idx="4">
                  <c:v>1.27</c:v>
                </c:pt>
                <c:pt idx="5">
                  <c:v>1.4</c:v>
                </c:pt>
                <c:pt idx="6">
                  <c:v>1.47</c:v>
                </c:pt>
                <c:pt idx="7">
                  <c:v>1.42</c:v>
                </c:pt>
                <c:pt idx="8">
                  <c:v>1.55</c:v>
                </c:pt>
                <c:pt idx="9">
                  <c:v>1.35</c:v>
                </c:pt>
                <c:pt idx="10">
                  <c:v>1.1499999999999999</c:v>
                </c:pt>
                <c:pt idx="11">
                  <c:v>1.01</c:v>
                </c:pt>
                <c:pt idx="12">
                  <c:v>1.02</c:v>
                </c:pt>
                <c:pt idx="13">
                  <c:v>1.02</c:v>
                </c:pt>
                <c:pt idx="14">
                  <c:v>1.17</c:v>
                </c:pt>
                <c:pt idx="15">
                  <c:v>1.01</c:v>
                </c:pt>
                <c:pt idx="16">
                  <c:v>1.1299999999999999</c:v>
                </c:pt>
                <c:pt idx="17">
                  <c:v>1.1299999999999999</c:v>
                </c:pt>
                <c:pt idx="18">
                  <c:v>1.1299999999999999</c:v>
                </c:pt>
                <c:pt idx="19">
                  <c:v>1.2</c:v>
                </c:pt>
                <c:pt idx="20">
                  <c:v>1.1299999999999999</c:v>
                </c:pt>
                <c:pt idx="21">
                  <c:v>1.05</c:v>
                </c:pt>
                <c:pt idx="22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D-43B5-99BC-5DBDC6B1F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492495"/>
        <c:axId val="829500399"/>
      </c:lineChart>
      <c:catAx>
        <c:axId val="8294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00399"/>
        <c:crosses val="autoZero"/>
        <c:auto val="1"/>
        <c:lblAlgn val="ctr"/>
        <c:lblOffset val="100"/>
        <c:noMultiLvlLbl val="0"/>
      </c:catAx>
      <c:valAx>
        <c:axId val="8295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MOIC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성과통계2!$G$5</c:f>
              <c:strCache>
                <c:ptCount val="1"/>
                <c:pt idx="0">
                  <c:v>GK, MOIC 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성과통계2!$G$20:$G$42</c:f>
              <c:numCache>
                <c:formatCode>General</c:formatCode>
                <c:ptCount val="23"/>
                <c:pt idx="0">
                  <c:v>1.6</c:v>
                </c:pt>
                <c:pt idx="1">
                  <c:v>1.75</c:v>
                </c:pt>
                <c:pt idx="2">
                  <c:v>1.51</c:v>
                </c:pt>
                <c:pt idx="3">
                  <c:v>1.32</c:v>
                </c:pt>
                <c:pt idx="4">
                  <c:v>1.44</c:v>
                </c:pt>
                <c:pt idx="5">
                  <c:v>1.84</c:v>
                </c:pt>
                <c:pt idx="6">
                  <c:v>1.97</c:v>
                </c:pt>
                <c:pt idx="7">
                  <c:v>1.92</c:v>
                </c:pt>
                <c:pt idx="8">
                  <c:v>2.0499999999999998</c:v>
                </c:pt>
                <c:pt idx="9">
                  <c:v>1.79</c:v>
                </c:pt>
                <c:pt idx="10">
                  <c:v>1.63</c:v>
                </c:pt>
                <c:pt idx="11">
                  <c:v>1.56</c:v>
                </c:pt>
                <c:pt idx="12">
                  <c:v>1.71</c:v>
                </c:pt>
                <c:pt idx="13">
                  <c:v>1.71</c:v>
                </c:pt>
                <c:pt idx="14">
                  <c:v>2.14</c:v>
                </c:pt>
                <c:pt idx="15">
                  <c:v>1.87</c:v>
                </c:pt>
                <c:pt idx="16">
                  <c:v>2.1800000000000002</c:v>
                </c:pt>
                <c:pt idx="17">
                  <c:v>2.02</c:v>
                </c:pt>
                <c:pt idx="18">
                  <c:v>1.99</c:v>
                </c:pt>
                <c:pt idx="19">
                  <c:v>2.11</c:v>
                </c:pt>
                <c:pt idx="20">
                  <c:v>1.94</c:v>
                </c:pt>
                <c:pt idx="21">
                  <c:v>1.83</c:v>
                </c:pt>
                <c:pt idx="22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F-4542-862F-6089B108DEF8}"/>
            </c:ext>
          </c:extLst>
        </c:ser>
        <c:ser>
          <c:idx val="1"/>
          <c:order val="1"/>
          <c:tx>
            <c:strRef>
              <c:f>성과통계2!$H$5</c:f>
              <c:strCache>
                <c:ptCount val="1"/>
                <c:pt idx="0">
                  <c:v>GK, MOIC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성과통계2!$H$20:$H$42</c:f>
              <c:numCache>
                <c:formatCode>General</c:formatCode>
                <c:ptCount val="23"/>
                <c:pt idx="0">
                  <c:v>1.56</c:v>
                </c:pt>
                <c:pt idx="1">
                  <c:v>1.7</c:v>
                </c:pt>
                <c:pt idx="2">
                  <c:v>1.23</c:v>
                </c:pt>
                <c:pt idx="3">
                  <c:v>1.44</c:v>
                </c:pt>
                <c:pt idx="4">
                  <c:v>1.53</c:v>
                </c:pt>
                <c:pt idx="5">
                  <c:v>1.66</c:v>
                </c:pt>
                <c:pt idx="6">
                  <c:v>1.92</c:v>
                </c:pt>
                <c:pt idx="7">
                  <c:v>1.74</c:v>
                </c:pt>
                <c:pt idx="8">
                  <c:v>1.9</c:v>
                </c:pt>
                <c:pt idx="9">
                  <c:v>1.67</c:v>
                </c:pt>
                <c:pt idx="10">
                  <c:v>1.6</c:v>
                </c:pt>
                <c:pt idx="11">
                  <c:v>1.61</c:v>
                </c:pt>
                <c:pt idx="12">
                  <c:v>1.73</c:v>
                </c:pt>
                <c:pt idx="13">
                  <c:v>1.66</c:v>
                </c:pt>
                <c:pt idx="14">
                  <c:v>2.17</c:v>
                </c:pt>
                <c:pt idx="15">
                  <c:v>1.82</c:v>
                </c:pt>
                <c:pt idx="16">
                  <c:v>2.06</c:v>
                </c:pt>
                <c:pt idx="17">
                  <c:v>1.88</c:v>
                </c:pt>
                <c:pt idx="18">
                  <c:v>1.91</c:v>
                </c:pt>
                <c:pt idx="19">
                  <c:v>1.82</c:v>
                </c:pt>
                <c:pt idx="20">
                  <c:v>1.65</c:v>
                </c:pt>
                <c:pt idx="21">
                  <c:v>1.77</c:v>
                </c:pt>
                <c:pt idx="22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F-4542-862F-6089B108DEF8}"/>
            </c:ext>
          </c:extLst>
        </c:ser>
        <c:ser>
          <c:idx val="2"/>
          <c:order val="2"/>
          <c:tx>
            <c:strRef>
              <c:f>성과통계2!$L$19</c:f>
              <c:strCache>
                <c:ptCount val="1"/>
                <c:pt idx="0">
                  <c:v>JKW, MOIC 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성과통계2!$L$20:$L$42</c:f>
              <c:numCache>
                <c:formatCode>General</c:formatCode>
                <c:ptCount val="23"/>
                <c:pt idx="0">
                  <c:v>1.59</c:v>
                </c:pt>
                <c:pt idx="1">
                  <c:v>1.71</c:v>
                </c:pt>
                <c:pt idx="2">
                  <c:v>1.51</c:v>
                </c:pt>
                <c:pt idx="3">
                  <c:v>1.31</c:v>
                </c:pt>
                <c:pt idx="4">
                  <c:v>1.46</c:v>
                </c:pt>
                <c:pt idx="5">
                  <c:v>1.85</c:v>
                </c:pt>
                <c:pt idx="6">
                  <c:v>1.97</c:v>
                </c:pt>
                <c:pt idx="7">
                  <c:v>1.93</c:v>
                </c:pt>
                <c:pt idx="8">
                  <c:v>2.06</c:v>
                </c:pt>
                <c:pt idx="9">
                  <c:v>1.79</c:v>
                </c:pt>
                <c:pt idx="10">
                  <c:v>1.61</c:v>
                </c:pt>
                <c:pt idx="11">
                  <c:v>1.56</c:v>
                </c:pt>
                <c:pt idx="12">
                  <c:v>1.71</c:v>
                </c:pt>
                <c:pt idx="13">
                  <c:v>1.7</c:v>
                </c:pt>
                <c:pt idx="14">
                  <c:v>2.09</c:v>
                </c:pt>
                <c:pt idx="15">
                  <c:v>1.84</c:v>
                </c:pt>
                <c:pt idx="16">
                  <c:v>2.06</c:v>
                </c:pt>
                <c:pt idx="17">
                  <c:v>1.87</c:v>
                </c:pt>
                <c:pt idx="18">
                  <c:v>1.85</c:v>
                </c:pt>
                <c:pt idx="19">
                  <c:v>1.92</c:v>
                </c:pt>
                <c:pt idx="20">
                  <c:v>1.76</c:v>
                </c:pt>
                <c:pt idx="21">
                  <c:v>1.62</c:v>
                </c:pt>
                <c:pt idx="22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F-4542-862F-6089B108DEF8}"/>
            </c:ext>
          </c:extLst>
        </c:ser>
        <c:ser>
          <c:idx val="3"/>
          <c:order val="3"/>
          <c:tx>
            <c:strRef>
              <c:f>성과통계2!$M$19</c:f>
              <c:strCache>
                <c:ptCount val="1"/>
                <c:pt idx="0">
                  <c:v>JKM, MOIC median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성과통계2!$B$20:$B$42</c:f>
              <c:numCache>
                <c:formatCode>General</c:formatCode>
                <c:ptCount val="2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</c:numCache>
            </c:numRef>
          </c:cat>
          <c:val>
            <c:numRef>
              <c:f>성과통계2!$M$20:$M$42</c:f>
              <c:numCache>
                <c:formatCode>General</c:formatCode>
                <c:ptCount val="23"/>
                <c:pt idx="0">
                  <c:v>1.53</c:v>
                </c:pt>
                <c:pt idx="1">
                  <c:v>1.39</c:v>
                </c:pt>
                <c:pt idx="2">
                  <c:v>1.21</c:v>
                </c:pt>
                <c:pt idx="3">
                  <c:v>1.44</c:v>
                </c:pt>
                <c:pt idx="4">
                  <c:v>1.57</c:v>
                </c:pt>
                <c:pt idx="5">
                  <c:v>1.74</c:v>
                </c:pt>
                <c:pt idx="6">
                  <c:v>1.93</c:v>
                </c:pt>
                <c:pt idx="7">
                  <c:v>1.81</c:v>
                </c:pt>
                <c:pt idx="8">
                  <c:v>1.77</c:v>
                </c:pt>
                <c:pt idx="9">
                  <c:v>1.61</c:v>
                </c:pt>
                <c:pt idx="10">
                  <c:v>1.54</c:v>
                </c:pt>
                <c:pt idx="11">
                  <c:v>1.63</c:v>
                </c:pt>
                <c:pt idx="12">
                  <c:v>1.73</c:v>
                </c:pt>
                <c:pt idx="13">
                  <c:v>1.68</c:v>
                </c:pt>
                <c:pt idx="14">
                  <c:v>2.04</c:v>
                </c:pt>
                <c:pt idx="15">
                  <c:v>1.84</c:v>
                </c:pt>
                <c:pt idx="16">
                  <c:v>1.9</c:v>
                </c:pt>
                <c:pt idx="17">
                  <c:v>1.81</c:v>
                </c:pt>
                <c:pt idx="18">
                  <c:v>1.76</c:v>
                </c:pt>
                <c:pt idx="19">
                  <c:v>1.67</c:v>
                </c:pt>
                <c:pt idx="20">
                  <c:v>1.5</c:v>
                </c:pt>
                <c:pt idx="21">
                  <c:v>1.53</c:v>
                </c:pt>
                <c:pt idx="22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6F-4542-862F-6089B108D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492495"/>
        <c:axId val="829500399"/>
      </c:lineChart>
      <c:catAx>
        <c:axId val="8294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00399"/>
        <c:crosses val="autoZero"/>
        <c:auto val="1"/>
        <c:lblAlgn val="ctr"/>
        <c:lblOffset val="100"/>
        <c:noMultiLvlLbl val="0"/>
      </c:catAx>
      <c:valAx>
        <c:axId val="8295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Yale's returns from LBO investments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Yale!$J$2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Yale!$I$3:$I$32</c:f>
              <c:numCache>
                <c:formatCode>General</c:formatCode>
                <c:ptCount val="3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</c:numCache>
            </c:numRef>
          </c:cat>
          <c:val>
            <c:numRef>
              <c:f>Yale!$J$3:$J$32</c:f>
              <c:numCache>
                <c:formatCode>0.00%</c:formatCode>
                <c:ptCount val="30"/>
                <c:pt idx="0">
                  <c:v>0.14199999999999999</c:v>
                </c:pt>
                <c:pt idx="1">
                  <c:v>7.1999999999999995E-2</c:v>
                </c:pt>
                <c:pt idx="2">
                  <c:v>0.57299999999999995</c:v>
                </c:pt>
                <c:pt idx="3">
                  <c:v>0.187</c:v>
                </c:pt>
                <c:pt idx="4">
                  <c:v>0.26300000000000001</c:v>
                </c:pt>
                <c:pt idx="5">
                  <c:v>0.315</c:v>
                </c:pt>
                <c:pt idx="6">
                  <c:v>0.221</c:v>
                </c:pt>
                <c:pt idx="7">
                  <c:v>0.39800000000000002</c:v>
                </c:pt>
                <c:pt idx="8">
                  <c:v>8.5000000000000006E-2</c:v>
                </c:pt>
                <c:pt idx="9">
                  <c:v>0.35099999999999998</c:v>
                </c:pt>
                <c:pt idx="10">
                  <c:v>-0.14699999999999999</c:v>
                </c:pt>
                <c:pt idx="11">
                  <c:v>-0.112</c:v>
                </c:pt>
                <c:pt idx="12">
                  <c:v>-3.0000000000000001E-3</c:v>
                </c:pt>
                <c:pt idx="13">
                  <c:v>0.32</c:v>
                </c:pt>
                <c:pt idx="14">
                  <c:v>0.32400000000000001</c:v>
                </c:pt>
                <c:pt idx="15">
                  <c:v>0.35899999999999999</c:v>
                </c:pt>
                <c:pt idx="16">
                  <c:v>0.45100000000000001</c:v>
                </c:pt>
                <c:pt idx="17">
                  <c:v>-4.5999999999999999E-2</c:v>
                </c:pt>
                <c:pt idx="18">
                  <c:v>-0.25900000000000001</c:v>
                </c:pt>
                <c:pt idx="19">
                  <c:v>0.22700000000000001</c:v>
                </c:pt>
                <c:pt idx="20">
                  <c:v>0.22800000000000001</c:v>
                </c:pt>
                <c:pt idx="21">
                  <c:v>8.7999999999999995E-2</c:v>
                </c:pt>
                <c:pt idx="22">
                  <c:v>0.16200000000000001</c:v>
                </c:pt>
                <c:pt idx="23">
                  <c:v>0.19</c:v>
                </c:pt>
                <c:pt idx="24">
                  <c:v>0.14899999999999999</c:v>
                </c:pt>
                <c:pt idx="25">
                  <c:v>8.4000000000000005E-2</c:v>
                </c:pt>
                <c:pt idx="26">
                  <c:v>0.20200000000000001</c:v>
                </c:pt>
                <c:pt idx="27">
                  <c:v>0.20100000000000001</c:v>
                </c:pt>
                <c:pt idx="28">
                  <c:v>0.12</c:v>
                </c:pt>
                <c:pt idx="29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F-4A71-B683-0C45CFDACFE3}"/>
            </c:ext>
          </c:extLst>
        </c:ser>
        <c:ser>
          <c:idx val="1"/>
          <c:order val="1"/>
          <c:tx>
            <c:strRef>
              <c:f>Yale!$K$2</c:f>
              <c:strCache>
                <c:ptCount val="1"/>
                <c:pt idx="0">
                  <c:v>Foreign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Yale!$I$3:$I$32</c:f>
              <c:numCache>
                <c:formatCode>General</c:formatCode>
                <c:ptCount val="3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</c:numCache>
            </c:numRef>
          </c:cat>
          <c:val>
            <c:numRef>
              <c:f>Yale!$K$3:$K$32</c:f>
              <c:numCache>
                <c:formatCode>0.00%</c:formatCode>
                <c:ptCount val="30"/>
                <c:pt idx="0">
                  <c:v>-0.309</c:v>
                </c:pt>
                <c:pt idx="1">
                  <c:v>7.0000000000000007E-2</c:v>
                </c:pt>
                <c:pt idx="2">
                  <c:v>-0.16500000000000001</c:v>
                </c:pt>
                <c:pt idx="3">
                  <c:v>0.23100000000000001</c:v>
                </c:pt>
                <c:pt idx="4">
                  <c:v>0.13300000000000001</c:v>
                </c:pt>
                <c:pt idx="5">
                  <c:v>0.40399999999999997</c:v>
                </c:pt>
                <c:pt idx="6">
                  <c:v>0.97900000000000009</c:v>
                </c:pt>
                <c:pt idx="7">
                  <c:v>-3.0000000000000001E-3</c:v>
                </c:pt>
                <c:pt idx="8">
                  <c:v>-0.16800000000000001</c:v>
                </c:pt>
                <c:pt idx="9">
                  <c:v>0.38200000000000001</c:v>
                </c:pt>
                <c:pt idx="10">
                  <c:v>-3.5000000000000003E-2</c:v>
                </c:pt>
                <c:pt idx="11">
                  <c:v>-4.0000000000000001E-3</c:v>
                </c:pt>
                <c:pt idx="12">
                  <c:v>2.4E-2</c:v>
                </c:pt>
                <c:pt idx="13">
                  <c:v>0.22699999999999998</c:v>
                </c:pt>
                <c:pt idx="14">
                  <c:v>0.193</c:v>
                </c:pt>
                <c:pt idx="15">
                  <c:v>0.47499999999999998</c:v>
                </c:pt>
                <c:pt idx="16">
                  <c:v>0.57799999999999996</c:v>
                </c:pt>
                <c:pt idx="17">
                  <c:v>0.21100000000000002</c:v>
                </c:pt>
                <c:pt idx="18">
                  <c:v>-0.28800000000000003</c:v>
                </c:pt>
                <c:pt idx="19">
                  <c:v>0.14800000000000002</c:v>
                </c:pt>
                <c:pt idx="20">
                  <c:v>0.33899999999999997</c:v>
                </c:pt>
                <c:pt idx="21">
                  <c:v>-2.7999999999999997E-2</c:v>
                </c:pt>
                <c:pt idx="22">
                  <c:v>0.10300000000000001</c:v>
                </c:pt>
                <c:pt idx="23">
                  <c:v>0.188</c:v>
                </c:pt>
                <c:pt idx="24">
                  <c:v>4.0999999999999995E-2</c:v>
                </c:pt>
                <c:pt idx="25">
                  <c:v>0.23899999999999999</c:v>
                </c:pt>
                <c:pt idx="26">
                  <c:v>0.28100000000000003</c:v>
                </c:pt>
                <c:pt idx="27">
                  <c:v>0.14300000000000002</c:v>
                </c:pt>
                <c:pt idx="28">
                  <c:v>0.12300000000000001</c:v>
                </c:pt>
                <c:pt idx="29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F-4A71-B683-0C45CFDACFE3}"/>
            </c:ext>
          </c:extLst>
        </c:ser>
        <c:ser>
          <c:idx val="2"/>
          <c:order val="2"/>
          <c:tx>
            <c:strRef>
              <c:f>Yale!$L$2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Yale!$I$3:$I$32</c:f>
              <c:numCache>
                <c:formatCode>General</c:formatCode>
                <c:ptCount val="3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</c:numCache>
            </c:numRef>
          </c:cat>
          <c:val>
            <c:numRef>
              <c:f>Yale!$L$3:$L$32</c:f>
              <c:numCache>
                <c:formatCode>0.00%</c:formatCode>
                <c:ptCount val="30"/>
                <c:pt idx="0">
                  <c:v>8.3000000000000004E-2</c:v>
                </c:pt>
                <c:pt idx="1">
                  <c:v>7.1999999999999995E-2</c:v>
                </c:pt>
                <c:pt idx="2">
                  <c:v>0.53200000000000003</c:v>
                </c:pt>
                <c:pt idx="3">
                  <c:v>0.189</c:v>
                </c:pt>
                <c:pt idx="4">
                  <c:v>0.251</c:v>
                </c:pt>
                <c:pt idx="5">
                  <c:v>0.32500000000000001</c:v>
                </c:pt>
                <c:pt idx="6">
                  <c:v>0.372</c:v>
                </c:pt>
                <c:pt idx="7">
                  <c:v>0.28499999999999998</c:v>
                </c:pt>
                <c:pt idx="8">
                  <c:v>3.1E-2</c:v>
                </c:pt>
                <c:pt idx="9">
                  <c:v>0.35599999999999998</c:v>
                </c:pt>
                <c:pt idx="10">
                  <c:v>-0.13400000000000001</c:v>
                </c:pt>
                <c:pt idx="11">
                  <c:v>-9.8000000000000004E-2</c:v>
                </c:pt>
                <c:pt idx="12">
                  <c:v>1E-3</c:v>
                </c:pt>
                <c:pt idx="13">
                  <c:v>0.30399999999999999</c:v>
                </c:pt>
                <c:pt idx="14">
                  <c:v>0.30299999999999999</c:v>
                </c:pt>
                <c:pt idx="15">
                  <c:v>0.377</c:v>
                </c:pt>
                <c:pt idx="16">
                  <c:v>0.47199999999999998</c:v>
                </c:pt>
                <c:pt idx="17">
                  <c:v>-5.0000000000000001E-3</c:v>
                </c:pt>
                <c:pt idx="18">
                  <c:v>-0.26500000000000001</c:v>
                </c:pt>
                <c:pt idx="19">
                  <c:v>0.21</c:v>
                </c:pt>
                <c:pt idx="20">
                  <c:v>0.252</c:v>
                </c:pt>
                <c:pt idx="21">
                  <c:v>5.8999999999999997E-2</c:v>
                </c:pt>
                <c:pt idx="22">
                  <c:v>0.14799999999999999</c:v>
                </c:pt>
                <c:pt idx="23">
                  <c:v>0.189</c:v>
                </c:pt>
                <c:pt idx="24">
                  <c:v>0.123</c:v>
                </c:pt>
                <c:pt idx="25">
                  <c:v>0.114</c:v>
                </c:pt>
                <c:pt idx="26">
                  <c:v>0.215</c:v>
                </c:pt>
                <c:pt idx="27">
                  <c:v>0.191</c:v>
                </c:pt>
                <c:pt idx="28">
                  <c:v>0.121</c:v>
                </c:pt>
                <c:pt idx="29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F-4A71-B683-0C45CFDAC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066383"/>
        <c:axId val="220066799"/>
      </c:lineChart>
      <c:catAx>
        <c:axId val="22006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66799"/>
        <c:crosses val="autoZero"/>
        <c:auto val="1"/>
        <c:lblAlgn val="ctr"/>
        <c:lblOffset val="100"/>
        <c:noMultiLvlLbl val="0"/>
      </c:catAx>
      <c:valAx>
        <c:axId val="2200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6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../media/image3.emf"/><Relationship Id="rId7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image" Target="../media/image4.emf"/><Relationship Id="rId9" Type="http://schemas.openxmlformats.org/officeDocument/2006/relationships/image" Target="../media/image7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6</xdr:row>
      <xdr:rowOff>19050</xdr:rowOff>
    </xdr:from>
    <xdr:to>
      <xdr:col>13</xdr:col>
      <xdr:colOff>38100</xdr:colOff>
      <xdr:row>20</xdr:row>
      <xdr:rowOff>95250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400050</xdr:colOff>
      <xdr:row>21</xdr:row>
      <xdr:rowOff>161925</xdr:rowOff>
    </xdr:from>
    <xdr:to>
      <xdr:col>21</xdr:col>
      <xdr:colOff>95250</xdr:colOff>
      <xdr:row>36</xdr:row>
      <xdr:rowOff>47625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409575</xdr:colOff>
      <xdr:row>5</xdr:row>
      <xdr:rowOff>152400</xdr:rowOff>
    </xdr:from>
    <xdr:to>
      <xdr:col>21</xdr:col>
      <xdr:colOff>104775</xdr:colOff>
      <xdr:row>20</xdr:row>
      <xdr:rowOff>38100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304800</xdr:colOff>
      <xdr:row>21</xdr:row>
      <xdr:rowOff>180975</xdr:rowOff>
    </xdr:from>
    <xdr:to>
      <xdr:col>13</xdr:col>
      <xdr:colOff>0</xdr:colOff>
      <xdr:row>36</xdr:row>
      <xdr:rowOff>66675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25</xdr:col>
      <xdr:colOff>447675</xdr:colOff>
      <xdr:row>27</xdr:row>
      <xdr:rowOff>19050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762000"/>
          <a:ext cx="5934075" cy="440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25</xdr:col>
      <xdr:colOff>409575</xdr:colOff>
      <xdr:row>50</xdr:row>
      <xdr:rowOff>66675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334000"/>
          <a:ext cx="5895975" cy="425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3</xdr:row>
      <xdr:rowOff>171450</xdr:rowOff>
    </xdr:from>
    <xdr:to>
      <xdr:col>36</xdr:col>
      <xdr:colOff>523875</xdr:colOff>
      <xdr:row>26</xdr:row>
      <xdr:rowOff>142875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742950"/>
          <a:ext cx="6048375" cy="435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581025</xdr:colOff>
      <xdr:row>28</xdr:row>
      <xdr:rowOff>66675</xdr:rowOff>
    </xdr:from>
    <xdr:to>
      <xdr:col>36</xdr:col>
      <xdr:colOff>342900</xdr:colOff>
      <xdr:row>49</xdr:row>
      <xdr:rowOff>123825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5400675"/>
          <a:ext cx="5857875" cy="405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95250</xdr:colOff>
      <xdr:row>8</xdr:row>
      <xdr:rowOff>147637</xdr:rowOff>
    </xdr:from>
    <xdr:to>
      <xdr:col>14</xdr:col>
      <xdr:colOff>400050</xdr:colOff>
      <xdr:row>29</xdr:row>
      <xdr:rowOff>142875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114300</xdr:colOff>
      <xdr:row>31</xdr:row>
      <xdr:rowOff>142875</xdr:rowOff>
    </xdr:from>
    <xdr:to>
      <xdr:col>14</xdr:col>
      <xdr:colOff>419100</xdr:colOff>
      <xdr:row>52</xdr:row>
      <xdr:rowOff>138113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38</xdr:col>
      <xdr:colOff>106668</xdr:colOff>
      <xdr:row>3</xdr:row>
      <xdr:rowOff>47625</xdr:rowOff>
    </xdr:from>
    <xdr:to>
      <xdr:col>46</xdr:col>
      <xdr:colOff>590550</xdr:colOff>
      <xdr:row>24</xdr:row>
      <xdr:rowOff>85725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71468" y="619125"/>
          <a:ext cx="5360682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123826</xdr:colOff>
      <xdr:row>28</xdr:row>
      <xdr:rowOff>1</xdr:rowOff>
    </xdr:from>
    <xdr:to>
      <xdr:col>47</xdr:col>
      <xdr:colOff>0</xdr:colOff>
      <xdr:row>49</xdr:row>
      <xdr:rowOff>53153</xdr:rowOff>
    </xdr:to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8626" y="5334001"/>
          <a:ext cx="5362574" cy="4053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25436</xdr:colOff>
      <xdr:row>50</xdr:row>
      <xdr:rowOff>142875</xdr:rowOff>
    </xdr:from>
    <xdr:to>
      <xdr:col>46</xdr:col>
      <xdr:colOff>600771</xdr:colOff>
      <xdr:row>71</xdr:row>
      <xdr:rowOff>123825</xdr:rowOff>
    </xdr:to>
    <xdr:pic>
      <xdr:nvPicPr>
        <xdr:cNvPr id="10" name="그림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90236" y="9667875"/>
          <a:ext cx="5452135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2</xdr:row>
      <xdr:rowOff>76200</xdr:rowOff>
    </xdr:from>
    <xdr:to>
      <xdr:col>6</xdr:col>
      <xdr:colOff>247650</xdr:colOff>
      <xdr:row>34</xdr:row>
      <xdr:rowOff>98189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57200"/>
          <a:ext cx="2171700" cy="6117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333375</xdr:colOff>
      <xdr:row>2</xdr:row>
      <xdr:rowOff>57150</xdr:rowOff>
    </xdr:from>
    <xdr:to>
      <xdr:col>2</xdr:col>
      <xdr:colOff>307032</xdr:colOff>
      <xdr:row>34</xdr:row>
      <xdr:rowOff>66734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438150"/>
          <a:ext cx="583257" cy="610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161925</xdr:colOff>
      <xdr:row>2</xdr:row>
      <xdr:rowOff>19050</xdr:rowOff>
    </xdr:from>
    <xdr:to>
      <xdr:col>19</xdr:col>
      <xdr:colOff>466725</xdr:colOff>
      <xdr:row>16</xdr:row>
      <xdr:rowOff>95250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296899</xdr:colOff>
      <xdr:row>65</xdr:row>
      <xdr:rowOff>35718</xdr:rowOff>
    </xdr:from>
    <xdr:to>
      <xdr:col>15</xdr:col>
      <xdr:colOff>445294</xdr:colOff>
      <xdr:row>105</xdr:row>
      <xdr:rowOff>91679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0212" y="12418218"/>
          <a:ext cx="5547879" cy="7675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Teaching/FMBA%20Alternative%20Investments/Lecture%20Notes/04_Fund_Perfor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5">
          <cell r="D5" t="str">
            <v>North America</v>
          </cell>
          <cell r="H5" t="str">
            <v>Europe</v>
          </cell>
          <cell r="L5" t="str">
            <v>Asia Pacific</v>
          </cell>
        </row>
        <row r="7">
          <cell r="C7">
            <v>1995</v>
          </cell>
          <cell r="D7">
            <v>1.59</v>
          </cell>
          <cell r="H7">
            <v>0.59</v>
          </cell>
          <cell r="L7">
            <v>0.88</v>
          </cell>
        </row>
        <row r="8">
          <cell r="C8">
            <v>1996</v>
          </cell>
          <cell r="D8">
            <v>1.71</v>
          </cell>
          <cell r="H8">
            <v>1.93</v>
          </cell>
          <cell r="L8">
            <v>1.08</v>
          </cell>
        </row>
        <row r="9">
          <cell r="C9">
            <v>1997</v>
          </cell>
          <cell r="D9">
            <v>1.51</v>
          </cell>
          <cell r="H9">
            <v>1.96</v>
          </cell>
          <cell r="L9">
            <v>1.46</v>
          </cell>
        </row>
        <row r="10">
          <cell r="C10">
            <v>1998</v>
          </cell>
          <cell r="D10">
            <v>1.31</v>
          </cell>
          <cell r="H10">
            <v>2.09</v>
          </cell>
          <cell r="L10">
            <v>1.1399999999999999</v>
          </cell>
        </row>
        <row r="11">
          <cell r="C11">
            <v>1999</v>
          </cell>
          <cell r="D11">
            <v>1.46</v>
          </cell>
          <cell r="H11">
            <v>1.85</v>
          </cell>
          <cell r="L11">
            <v>1.08</v>
          </cell>
        </row>
        <row r="12">
          <cell r="C12">
            <v>2000</v>
          </cell>
          <cell r="D12">
            <v>1.85</v>
          </cell>
          <cell r="H12">
            <v>2.17</v>
          </cell>
          <cell r="L12">
            <v>1.87</v>
          </cell>
        </row>
        <row r="13">
          <cell r="C13">
            <v>2001</v>
          </cell>
          <cell r="D13">
            <v>1.97</v>
          </cell>
          <cell r="H13">
            <v>2.15</v>
          </cell>
          <cell r="L13">
            <v>3.59</v>
          </cell>
        </row>
        <row r="14">
          <cell r="C14">
            <v>2002</v>
          </cell>
          <cell r="D14">
            <v>1.93</v>
          </cell>
          <cell r="H14">
            <v>2.15</v>
          </cell>
          <cell r="L14">
            <v>2.84</v>
          </cell>
        </row>
        <row r="15">
          <cell r="C15">
            <v>2003</v>
          </cell>
          <cell r="D15">
            <v>2.06</v>
          </cell>
          <cell r="H15">
            <v>2.09</v>
          </cell>
        </row>
        <row r="16">
          <cell r="C16">
            <v>2004</v>
          </cell>
          <cell r="D16">
            <v>1.79</v>
          </cell>
          <cell r="H16">
            <v>1.68</v>
          </cell>
          <cell r="L16">
            <v>1.73</v>
          </cell>
        </row>
        <row r="17">
          <cell r="C17">
            <v>2005</v>
          </cell>
          <cell r="D17">
            <v>1.61</v>
          </cell>
          <cell r="H17">
            <v>1.57</v>
          </cell>
          <cell r="L17">
            <v>1.51</v>
          </cell>
        </row>
        <row r="18">
          <cell r="C18">
            <v>2006</v>
          </cell>
          <cell r="D18">
            <v>1.56</v>
          </cell>
          <cell r="H18">
            <v>1.29</v>
          </cell>
          <cell r="L18">
            <v>1.35</v>
          </cell>
        </row>
        <row r="19">
          <cell r="C19">
            <v>2007</v>
          </cell>
          <cell r="D19">
            <v>1.71</v>
          </cell>
          <cell r="H19">
            <v>1.41</v>
          </cell>
          <cell r="L19">
            <v>1.73</v>
          </cell>
        </row>
        <row r="20">
          <cell r="C20">
            <v>2008</v>
          </cell>
          <cell r="D20">
            <v>1.7</v>
          </cell>
          <cell r="H20">
            <v>1.62</v>
          </cell>
          <cell r="L20">
            <v>1.37</v>
          </cell>
        </row>
        <row r="21">
          <cell r="C21">
            <v>2009</v>
          </cell>
          <cell r="D21">
            <v>2.09</v>
          </cell>
          <cell r="H21">
            <v>1.53</v>
          </cell>
          <cell r="L21">
            <v>1.2</v>
          </cell>
        </row>
        <row r="22">
          <cell r="C22">
            <v>2010</v>
          </cell>
          <cell r="D22">
            <v>1.84</v>
          </cell>
          <cell r="H22">
            <v>1.47</v>
          </cell>
          <cell r="L22">
            <v>1.52</v>
          </cell>
        </row>
        <row r="23">
          <cell r="C23">
            <v>2011</v>
          </cell>
          <cell r="D23">
            <v>2.06</v>
          </cell>
          <cell r="H23">
            <v>1.67</v>
          </cell>
          <cell r="L23">
            <v>1.38</v>
          </cell>
        </row>
        <row r="24">
          <cell r="C24">
            <v>2012</v>
          </cell>
          <cell r="D24">
            <v>1.87</v>
          </cell>
          <cell r="H24">
            <v>1.73</v>
          </cell>
          <cell r="L24">
            <v>1.77</v>
          </cell>
        </row>
        <row r="25">
          <cell r="C25">
            <v>2013</v>
          </cell>
          <cell r="D25">
            <v>1.85</v>
          </cell>
          <cell r="H25">
            <v>1.61</v>
          </cell>
          <cell r="L25">
            <v>1.53</v>
          </cell>
        </row>
        <row r="26">
          <cell r="C26">
            <v>2014</v>
          </cell>
          <cell r="D26">
            <v>1.92</v>
          </cell>
          <cell r="H26">
            <v>1.85</v>
          </cell>
          <cell r="L26">
            <v>1.48</v>
          </cell>
        </row>
        <row r="27">
          <cell r="C27">
            <v>2015</v>
          </cell>
          <cell r="D27">
            <v>1.76</v>
          </cell>
          <cell r="H27">
            <v>1.6</v>
          </cell>
          <cell r="L27">
            <v>1.38</v>
          </cell>
        </row>
        <row r="28">
          <cell r="C28">
            <v>2016</v>
          </cell>
          <cell r="D28">
            <v>1.62</v>
          </cell>
          <cell r="H28">
            <v>1.51</v>
          </cell>
          <cell r="L28">
            <v>1.49</v>
          </cell>
        </row>
        <row r="29">
          <cell r="C29">
            <v>2017</v>
          </cell>
          <cell r="D29">
            <v>1.64</v>
          </cell>
          <cell r="H29">
            <v>1.48</v>
          </cell>
          <cell r="L29">
            <v>1.58</v>
          </cell>
        </row>
        <row r="30">
          <cell r="C30">
            <v>2018</v>
          </cell>
          <cell r="D30">
            <v>1.35</v>
          </cell>
          <cell r="H30">
            <v>1.31</v>
          </cell>
          <cell r="L30">
            <v>1.24</v>
          </cell>
        </row>
        <row r="31">
          <cell r="C31">
            <v>2019</v>
          </cell>
          <cell r="D31">
            <v>1.28</v>
          </cell>
          <cell r="H31">
            <v>1.1299999999999999</v>
          </cell>
          <cell r="L31">
            <v>1.26</v>
          </cell>
        </row>
        <row r="32">
          <cell r="C32">
            <v>2020</v>
          </cell>
          <cell r="D32">
            <v>1.0900000000000001</v>
          </cell>
          <cell r="H32">
            <v>1.28</v>
          </cell>
          <cell r="L32">
            <v>1.01</v>
          </cell>
        </row>
        <row r="33">
          <cell r="C33">
            <v>2021</v>
          </cell>
          <cell r="D33">
            <v>1.19</v>
          </cell>
          <cell r="H33">
            <v>0.98</v>
          </cell>
          <cell r="L33">
            <v>0.97</v>
          </cell>
        </row>
        <row r="36">
          <cell r="D36" t="str">
            <v>North America</v>
          </cell>
          <cell r="H36" t="str">
            <v>Europe</v>
          </cell>
          <cell r="L36" t="str">
            <v>Asia Pacific</v>
          </cell>
        </row>
        <row r="38">
          <cell r="C38">
            <v>1995</v>
          </cell>
          <cell r="D38">
            <v>1.1100000000000001</v>
          </cell>
          <cell r="H38">
            <v>0.43</v>
          </cell>
          <cell r="L38">
            <v>0.71</v>
          </cell>
        </row>
        <row r="39">
          <cell r="C39">
            <v>1996</v>
          </cell>
          <cell r="D39">
            <v>1.27</v>
          </cell>
          <cell r="H39">
            <v>1.27</v>
          </cell>
          <cell r="L39">
            <v>0.94</v>
          </cell>
        </row>
        <row r="40">
          <cell r="C40">
            <v>1997</v>
          </cell>
          <cell r="D40">
            <v>1.24</v>
          </cell>
          <cell r="H40">
            <v>1.69</v>
          </cell>
          <cell r="L40">
            <v>1.28</v>
          </cell>
        </row>
        <row r="41">
          <cell r="C41">
            <v>1998</v>
          </cell>
          <cell r="D41">
            <v>1.2</v>
          </cell>
          <cell r="H41">
            <v>1.91</v>
          </cell>
          <cell r="L41">
            <v>1.02</v>
          </cell>
        </row>
        <row r="42">
          <cell r="C42">
            <v>1999</v>
          </cell>
          <cell r="D42">
            <v>1.27</v>
          </cell>
          <cell r="H42">
            <v>1.51</v>
          </cell>
          <cell r="L42">
            <v>1.08</v>
          </cell>
        </row>
        <row r="43">
          <cell r="C43">
            <v>2000</v>
          </cell>
          <cell r="D43">
            <v>1.4</v>
          </cell>
          <cell r="H43">
            <v>1.77</v>
          </cell>
          <cell r="L43">
            <v>1.63</v>
          </cell>
        </row>
        <row r="44">
          <cell r="C44">
            <v>2001</v>
          </cell>
          <cell r="D44">
            <v>1.47</v>
          </cell>
          <cell r="H44">
            <v>1.53</v>
          </cell>
          <cell r="L44">
            <v>2.97</v>
          </cell>
        </row>
        <row r="45">
          <cell r="C45">
            <v>2002</v>
          </cell>
          <cell r="D45">
            <v>1.42</v>
          </cell>
          <cell r="H45">
            <v>1.48</v>
          </cell>
          <cell r="L45">
            <v>2.39</v>
          </cell>
        </row>
        <row r="46">
          <cell r="C46">
            <v>2003</v>
          </cell>
          <cell r="D46">
            <v>1.55</v>
          </cell>
          <cell r="H46">
            <v>1.6</v>
          </cell>
          <cell r="L46">
            <v>1.52</v>
          </cell>
        </row>
        <row r="47">
          <cell r="C47">
            <v>2004</v>
          </cell>
          <cell r="D47">
            <v>1.35</v>
          </cell>
          <cell r="H47">
            <v>1.36</v>
          </cell>
          <cell r="L47">
            <v>1.32</v>
          </cell>
        </row>
        <row r="48">
          <cell r="C48">
            <v>2005</v>
          </cell>
          <cell r="D48">
            <v>1.1499999999999999</v>
          </cell>
          <cell r="H48">
            <v>1.32</v>
          </cell>
          <cell r="L48">
            <v>1.04</v>
          </cell>
        </row>
        <row r="49">
          <cell r="C49">
            <v>2006</v>
          </cell>
          <cell r="D49">
            <v>1.01</v>
          </cell>
          <cell r="H49">
            <v>1.03</v>
          </cell>
          <cell r="L49">
            <v>1.1200000000000001</v>
          </cell>
        </row>
        <row r="50">
          <cell r="C50">
            <v>2007</v>
          </cell>
          <cell r="D50">
            <v>1.02</v>
          </cell>
          <cell r="H50">
            <v>1.05</v>
          </cell>
          <cell r="L50">
            <v>0.92</v>
          </cell>
        </row>
        <row r="51">
          <cell r="C51">
            <v>2008</v>
          </cell>
          <cell r="D51">
            <v>1.02</v>
          </cell>
          <cell r="H51">
            <v>1.1200000000000001</v>
          </cell>
          <cell r="L51">
            <v>0.74</v>
          </cell>
        </row>
        <row r="52">
          <cell r="C52">
            <v>2009</v>
          </cell>
          <cell r="D52">
            <v>1.17</v>
          </cell>
          <cell r="H52">
            <v>1.06</v>
          </cell>
          <cell r="L52">
            <v>0.88</v>
          </cell>
        </row>
        <row r="53">
          <cell r="C53">
            <v>2010</v>
          </cell>
          <cell r="D53">
            <v>1.01</v>
          </cell>
          <cell r="H53">
            <v>0.98</v>
          </cell>
          <cell r="L53">
            <v>0.88</v>
          </cell>
        </row>
        <row r="54">
          <cell r="C54">
            <v>2011</v>
          </cell>
          <cell r="D54">
            <v>1.1299999999999999</v>
          </cell>
          <cell r="H54">
            <v>1.17</v>
          </cell>
          <cell r="L54">
            <v>1.1499999999999999</v>
          </cell>
        </row>
        <row r="55">
          <cell r="C55">
            <v>2012</v>
          </cell>
          <cell r="D55">
            <v>1.1299999999999999</v>
          </cell>
          <cell r="H55">
            <v>1.26</v>
          </cell>
          <cell r="L55">
            <v>1.03</v>
          </cell>
        </row>
        <row r="56">
          <cell r="C56">
            <v>2013</v>
          </cell>
          <cell r="D56">
            <v>1.1299999999999999</v>
          </cell>
          <cell r="H56">
            <v>1.24</v>
          </cell>
          <cell r="L56">
            <v>1.06</v>
          </cell>
        </row>
        <row r="57">
          <cell r="C57">
            <v>2014</v>
          </cell>
          <cell r="D57">
            <v>1.2</v>
          </cell>
          <cell r="H57">
            <v>1.47</v>
          </cell>
          <cell r="L57">
            <v>0.96</v>
          </cell>
        </row>
        <row r="58">
          <cell r="C58">
            <v>2015</v>
          </cell>
          <cell r="D58">
            <v>1.1299999999999999</v>
          </cell>
          <cell r="H58">
            <v>1.32</v>
          </cell>
          <cell r="L58">
            <v>1.05</v>
          </cell>
        </row>
        <row r="59">
          <cell r="C59">
            <v>2016</v>
          </cell>
          <cell r="D59">
            <v>1.05</v>
          </cell>
          <cell r="H59">
            <v>1.25</v>
          </cell>
          <cell r="L59">
            <v>1.21</v>
          </cell>
        </row>
        <row r="60">
          <cell r="C60">
            <v>2017</v>
          </cell>
          <cell r="D60">
            <v>1.1599999999999999</v>
          </cell>
          <cell r="H60">
            <v>1.27</v>
          </cell>
          <cell r="L60">
            <v>0.97</v>
          </cell>
        </row>
        <row r="61">
          <cell r="C61">
            <v>2018</v>
          </cell>
          <cell r="D61">
            <v>1.02</v>
          </cell>
          <cell r="H61">
            <v>1.1299999999999999</v>
          </cell>
          <cell r="L61">
            <v>1.03</v>
          </cell>
        </row>
        <row r="62">
          <cell r="C62">
            <v>2019</v>
          </cell>
          <cell r="D62">
            <v>1.02</v>
          </cell>
          <cell r="H62">
            <v>0.97</v>
          </cell>
          <cell r="L62">
            <v>0.89</v>
          </cell>
        </row>
        <row r="63">
          <cell r="C63">
            <v>2020</v>
          </cell>
          <cell r="D63">
            <v>0.93</v>
          </cell>
          <cell r="H63">
            <v>1.08</v>
          </cell>
          <cell r="L63">
            <v>0.97</v>
          </cell>
        </row>
        <row r="64">
          <cell r="C64">
            <v>2021</v>
          </cell>
          <cell r="D64">
            <v>1.1200000000000001</v>
          </cell>
          <cell r="H64">
            <v>0.94</v>
          </cell>
          <cell r="L64">
            <v>0.71</v>
          </cell>
        </row>
      </sheetData>
      <sheetData sheetId="2">
        <row r="2">
          <cell r="J2" t="str">
            <v>Domestic</v>
          </cell>
          <cell r="K2" t="str">
            <v>Foreign</v>
          </cell>
          <cell r="L2" t="str">
            <v>Total</v>
          </cell>
        </row>
        <row r="3">
          <cell r="I3">
            <v>1991</v>
          </cell>
          <cell r="J3">
            <v>0.14199999999999999</v>
          </cell>
          <cell r="K3">
            <v>-0.309</v>
          </cell>
          <cell r="L3">
            <v>8.3000000000000004E-2</v>
          </cell>
        </row>
        <row r="4">
          <cell r="I4">
            <v>1992</v>
          </cell>
          <cell r="J4">
            <v>7.1999999999999995E-2</v>
          </cell>
          <cell r="K4">
            <v>7.0000000000000007E-2</v>
          </cell>
          <cell r="L4">
            <v>7.1999999999999995E-2</v>
          </cell>
        </row>
        <row r="5">
          <cell r="I5">
            <v>1993</v>
          </cell>
          <cell r="J5">
            <v>0.57299999999999995</v>
          </cell>
          <cell r="K5">
            <v>-0.16500000000000001</v>
          </cell>
          <cell r="L5">
            <v>0.53200000000000003</v>
          </cell>
        </row>
        <row r="6">
          <cell r="I6">
            <v>1994</v>
          </cell>
          <cell r="J6">
            <v>0.187</v>
          </cell>
          <cell r="K6">
            <v>0.23100000000000001</v>
          </cell>
          <cell r="L6">
            <v>0.189</v>
          </cell>
        </row>
        <row r="7">
          <cell r="I7">
            <v>1995</v>
          </cell>
          <cell r="J7">
            <v>0.26300000000000001</v>
          </cell>
          <cell r="K7">
            <v>0.13300000000000001</v>
          </cell>
          <cell r="L7">
            <v>0.251</v>
          </cell>
        </row>
        <row r="8">
          <cell r="I8">
            <v>1996</v>
          </cell>
          <cell r="J8">
            <v>0.315</v>
          </cell>
          <cell r="K8">
            <v>0.40399999999999997</v>
          </cell>
          <cell r="L8">
            <v>0.32500000000000001</v>
          </cell>
        </row>
        <row r="9">
          <cell r="I9">
            <v>1997</v>
          </cell>
          <cell r="J9">
            <v>0.221</v>
          </cell>
          <cell r="K9">
            <v>0.97900000000000009</v>
          </cell>
          <cell r="L9">
            <v>0.372</v>
          </cell>
        </row>
        <row r="10">
          <cell r="I10">
            <v>1998</v>
          </cell>
          <cell r="J10">
            <v>0.39800000000000002</v>
          </cell>
          <cell r="K10">
            <v>-3.0000000000000001E-3</v>
          </cell>
          <cell r="L10">
            <v>0.28499999999999998</v>
          </cell>
        </row>
        <row r="11">
          <cell r="I11">
            <v>1999</v>
          </cell>
          <cell r="J11">
            <v>8.5000000000000006E-2</v>
          </cell>
          <cell r="K11">
            <v>-0.16800000000000001</v>
          </cell>
          <cell r="L11">
            <v>3.1E-2</v>
          </cell>
        </row>
        <row r="12">
          <cell r="I12">
            <v>2000</v>
          </cell>
          <cell r="J12">
            <v>0.35099999999999998</v>
          </cell>
          <cell r="K12">
            <v>0.38200000000000001</v>
          </cell>
          <cell r="L12">
            <v>0.35599999999999998</v>
          </cell>
        </row>
        <row r="13">
          <cell r="I13">
            <v>2001</v>
          </cell>
          <cell r="J13">
            <v>-0.14699999999999999</v>
          </cell>
          <cell r="K13">
            <v>-3.5000000000000003E-2</v>
          </cell>
          <cell r="L13">
            <v>-0.13400000000000001</v>
          </cell>
        </row>
        <row r="14">
          <cell r="I14">
            <v>2002</v>
          </cell>
          <cell r="J14">
            <v>-0.112</v>
          </cell>
          <cell r="K14">
            <v>-4.0000000000000001E-3</v>
          </cell>
          <cell r="L14">
            <v>-9.8000000000000004E-2</v>
          </cell>
        </row>
        <row r="15">
          <cell r="I15">
            <v>2003</v>
          </cell>
          <cell r="J15">
            <v>-3.0000000000000001E-3</v>
          </cell>
          <cell r="K15">
            <v>2.4E-2</v>
          </cell>
          <cell r="L15">
            <v>1E-3</v>
          </cell>
        </row>
        <row r="16">
          <cell r="I16">
            <v>2004</v>
          </cell>
          <cell r="J16">
            <v>0.32</v>
          </cell>
          <cell r="K16">
            <v>0.22699999999999998</v>
          </cell>
          <cell r="L16">
            <v>0.30399999999999999</v>
          </cell>
        </row>
        <row r="17">
          <cell r="I17">
            <v>2005</v>
          </cell>
          <cell r="J17">
            <v>0.32400000000000001</v>
          </cell>
          <cell r="K17">
            <v>0.193</v>
          </cell>
          <cell r="L17">
            <v>0.30299999999999999</v>
          </cell>
        </row>
        <row r="18">
          <cell r="I18">
            <v>2006</v>
          </cell>
          <cell r="J18">
            <v>0.35899999999999999</v>
          </cell>
          <cell r="K18">
            <v>0.47499999999999998</v>
          </cell>
          <cell r="L18">
            <v>0.377</v>
          </cell>
        </row>
        <row r="19">
          <cell r="I19">
            <v>2007</v>
          </cell>
          <cell r="J19">
            <v>0.45100000000000001</v>
          </cell>
          <cell r="K19">
            <v>0.57799999999999996</v>
          </cell>
          <cell r="L19">
            <v>0.47199999999999998</v>
          </cell>
        </row>
        <row r="20">
          <cell r="I20">
            <v>2008</v>
          </cell>
          <cell r="J20">
            <v>-4.5999999999999999E-2</v>
          </cell>
          <cell r="K20">
            <v>0.21100000000000002</v>
          </cell>
          <cell r="L20">
            <v>-5.0000000000000001E-3</v>
          </cell>
        </row>
        <row r="21">
          <cell r="I21">
            <v>2009</v>
          </cell>
          <cell r="J21">
            <v>-0.25900000000000001</v>
          </cell>
          <cell r="K21">
            <v>-0.28800000000000003</v>
          </cell>
          <cell r="L21">
            <v>-0.26500000000000001</v>
          </cell>
        </row>
        <row r="22">
          <cell r="I22">
            <v>2010</v>
          </cell>
          <cell r="J22">
            <v>0.22700000000000001</v>
          </cell>
          <cell r="K22">
            <v>0.14800000000000002</v>
          </cell>
          <cell r="L22">
            <v>0.21</v>
          </cell>
        </row>
        <row r="23">
          <cell r="I23">
            <v>2011</v>
          </cell>
          <cell r="J23">
            <v>0.22800000000000001</v>
          </cell>
          <cell r="K23">
            <v>0.33899999999999997</v>
          </cell>
          <cell r="L23">
            <v>0.252</v>
          </cell>
        </row>
        <row r="24">
          <cell r="I24">
            <v>2012</v>
          </cell>
          <cell r="J24">
            <v>8.7999999999999995E-2</v>
          </cell>
          <cell r="K24">
            <v>-2.7999999999999997E-2</v>
          </cell>
          <cell r="L24">
            <v>5.8999999999999997E-2</v>
          </cell>
        </row>
        <row r="25">
          <cell r="I25">
            <v>2013</v>
          </cell>
          <cell r="J25">
            <v>0.16200000000000001</v>
          </cell>
          <cell r="K25">
            <v>0.10300000000000001</v>
          </cell>
          <cell r="L25">
            <v>0.14799999999999999</v>
          </cell>
        </row>
        <row r="26">
          <cell r="I26">
            <v>2014</v>
          </cell>
          <cell r="J26">
            <v>0.19</v>
          </cell>
          <cell r="K26">
            <v>0.188</v>
          </cell>
          <cell r="L26">
            <v>0.189</v>
          </cell>
        </row>
        <row r="27">
          <cell r="I27">
            <v>2015</v>
          </cell>
          <cell r="J27">
            <v>0.14899999999999999</v>
          </cell>
          <cell r="K27">
            <v>4.0999999999999995E-2</v>
          </cell>
          <cell r="L27">
            <v>0.123</v>
          </cell>
        </row>
        <row r="28">
          <cell r="I28">
            <v>2016</v>
          </cell>
          <cell r="J28">
            <v>8.4000000000000005E-2</v>
          </cell>
          <cell r="K28">
            <v>0.23899999999999999</v>
          </cell>
          <cell r="L28">
            <v>0.114</v>
          </cell>
        </row>
        <row r="29">
          <cell r="I29">
            <v>2017</v>
          </cell>
          <cell r="J29">
            <v>0.20200000000000001</v>
          </cell>
          <cell r="K29">
            <v>0.28100000000000003</v>
          </cell>
          <cell r="L29">
            <v>0.215</v>
          </cell>
        </row>
        <row r="30">
          <cell r="I30">
            <v>2018</v>
          </cell>
          <cell r="J30">
            <v>0.20100000000000001</v>
          </cell>
          <cell r="K30">
            <v>0.14300000000000002</v>
          </cell>
          <cell r="L30">
            <v>0.191</v>
          </cell>
        </row>
        <row r="31">
          <cell r="I31">
            <v>2019</v>
          </cell>
          <cell r="J31">
            <v>0.12</v>
          </cell>
          <cell r="K31">
            <v>0.12300000000000001</v>
          </cell>
          <cell r="L31">
            <v>0.121</v>
          </cell>
        </row>
        <row r="32">
          <cell r="I32">
            <v>2020</v>
          </cell>
          <cell r="J32">
            <v>4.1000000000000002E-2</v>
          </cell>
          <cell r="K32">
            <v>2.4E-2</v>
          </cell>
          <cell r="L32">
            <v>3.7999999999999999E-2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logs.cfainstitute.org/investor/2018/07/16/private-equity-funds-leverage-and-performance-evaluation/" TargetMode="External"/><Relationship Id="rId1" Type="http://schemas.openxmlformats.org/officeDocument/2006/relationships/hyperlink" Target="mailto:NPV@x%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17"/>
  <sheetViews>
    <sheetView tabSelected="1" zoomScale="110" zoomScaleNormal="110" workbookViewId="0">
      <selection activeCell="M18" sqref="M18"/>
    </sheetView>
  </sheetViews>
  <sheetFormatPr defaultRowHeight="15" x14ac:dyDescent="0.25"/>
  <cols>
    <col min="1" max="1" width="28.7109375" bestFit="1" customWidth="1"/>
    <col min="2" max="2" width="8.5703125" style="5" customWidth="1"/>
    <col min="3" max="9" width="10.42578125" bestFit="1" customWidth="1"/>
    <col min="10" max="10" width="9.5703125" customWidth="1"/>
    <col min="11" max="11" width="9" style="71" customWidth="1"/>
  </cols>
  <sheetData>
    <row r="2" spans="1:16" ht="15.75" thickBot="1" x14ac:dyDescent="0.3">
      <c r="B2" s="41"/>
      <c r="C2" s="49">
        <v>0</v>
      </c>
      <c r="D2" s="49">
        <v>1</v>
      </c>
      <c r="E2" s="49">
        <v>2</v>
      </c>
      <c r="F2" s="49">
        <v>3</v>
      </c>
      <c r="G2" s="49">
        <v>4</v>
      </c>
      <c r="H2" s="49">
        <v>5</v>
      </c>
      <c r="I2" s="41" t="s">
        <v>1</v>
      </c>
      <c r="J2" s="41" t="s">
        <v>42</v>
      </c>
      <c r="K2" s="104" t="s">
        <v>52</v>
      </c>
    </row>
    <row r="3" spans="1:16" x14ac:dyDescent="0.25">
      <c r="B3" s="11" t="s">
        <v>45</v>
      </c>
      <c r="C3" s="46">
        <v>-100</v>
      </c>
      <c r="D3" s="11">
        <v>0</v>
      </c>
      <c r="E3" s="11">
        <v>0</v>
      </c>
      <c r="F3" s="11">
        <v>0</v>
      </c>
      <c r="G3" s="51">
        <v>0</v>
      </c>
      <c r="H3" s="62">
        <f>-C3*1.1^H2</f>
        <v>161.05100000000004</v>
      </c>
      <c r="I3" s="55">
        <f>IRR(C3:H3)</f>
        <v>0.10000000000000009</v>
      </c>
      <c r="J3" s="45">
        <f>NPV(5%,D3:H3)+C3</f>
        <v>26.187672635911795</v>
      </c>
      <c r="K3" s="105">
        <f>SUM(D3:H3)/-C3</f>
        <v>1.6105100000000006</v>
      </c>
    </row>
    <row r="4" spans="1:16" x14ac:dyDescent="0.25">
      <c r="A4" t="s">
        <v>43</v>
      </c>
      <c r="B4" s="39" t="s">
        <v>46</v>
      </c>
      <c r="C4" s="47">
        <v>-100</v>
      </c>
      <c r="D4" s="47">
        <f>-C4*(1+I3)</f>
        <v>110.00000000000001</v>
      </c>
      <c r="E4" s="39">
        <v>0</v>
      </c>
      <c r="F4" s="39">
        <v>0</v>
      </c>
      <c r="G4" s="52">
        <v>0</v>
      </c>
      <c r="H4" s="39">
        <v>0</v>
      </c>
      <c r="I4" s="54">
        <f>IRR(C4:H4)</f>
        <v>0.10000000000000009</v>
      </c>
      <c r="J4" s="45">
        <f>NPV(5%,D4:H4)+C4</f>
        <v>4.7619047619047734</v>
      </c>
      <c r="K4" s="106">
        <f>SUM(D4:H4)/-C4</f>
        <v>1.1000000000000001</v>
      </c>
      <c r="P4" s="33"/>
    </row>
    <row r="5" spans="1:16" x14ac:dyDescent="0.25">
      <c r="B5" s="39" t="s">
        <v>47</v>
      </c>
      <c r="C5" s="47">
        <v>-100</v>
      </c>
      <c r="D5" s="47">
        <v>10</v>
      </c>
      <c r="E5" s="47">
        <v>10</v>
      </c>
      <c r="F5" s="47">
        <v>10</v>
      </c>
      <c r="G5" s="47">
        <v>10</v>
      </c>
      <c r="H5" s="47">
        <v>110</v>
      </c>
      <c r="I5" s="54">
        <f>IRR(C5:H5)</f>
        <v>0.10000000000000009</v>
      </c>
      <c r="J5" s="45">
        <f>NPV(5%,D5:H5)+C5</f>
        <v>21.647383353154083</v>
      </c>
      <c r="K5" s="106">
        <f>SUM(D5:H5)/-C5</f>
        <v>1.5</v>
      </c>
      <c r="P5" s="33"/>
    </row>
    <row r="6" spans="1:16" x14ac:dyDescent="0.25">
      <c r="A6" t="s">
        <v>40</v>
      </c>
      <c r="B6" s="39" t="s">
        <v>48</v>
      </c>
      <c r="C6" s="47">
        <v>-100</v>
      </c>
      <c r="D6" s="39">
        <v>0</v>
      </c>
      <c r="E6" s="39">
        <v>0</v>
      </c>
      <c r="F6" s="39">
        <v>0</v>
      </c>
      <c r="G6" s="52">
        <v>0</v>
      </c>
      <c r="H6" s="47">
        <v>150</v>
      </c>
      <c r="I6" s="54">
        <f>IRR(C6:H6)</f>
        <v>8.4471771197341949E-2</v>
      </c>
      <c r="J6" s="45">
        <f>NPV(5%,D6:H6)+C6</f>
        <v>17.528924970268832</v>
      </c>
      <c r="K6" s="106">
        <f>SUM(D6:H6)/-C6</f>
        <v>1.5</v>
      </c>
    </row>
    <row r="7" spans="1:16" x14ac:dyDescent="0.25">
      <c r="A7" t="s">
        <v>41</v>
      </c>
      <c r="B7" s="39" t="s">
        <v>49</v>
      </c>
      <c r="C7" s="39">
        <v>0</v>
      </c>
      <c r="D7" s="39">
        <v>0</v>
      </c>
      <c r="E7" s="39">
        <v>0</v>
      </c>
      <c r="F7" s="47">
        <v>-100</v>
      </c>
      <c r="G7" s="52">
        <v>0</v>
      </c>
      <c r="H7" s="47">
        <v>121</v>
      </c>
      <c r="I7" s="54">
        <f>IRR(C7:H7)</f>
        <v>0.10000000000000009</v>
      </c>
      <c r="J7" s="45">
        <f>NPV(5%,D7:H7)+C7</f>
        <v>8.4229062895359235</v>
      </c>
      <c r="K7" s="106">
        <f>H7/-F7</f>
        <v>1.21</v>
      </c>
    </row>
    <row r="8" spans="1:16" x14ac:dyDescent="0.25">
      <c r="B8" s="39" t="s">
        <v>50</v>
      </c>
      <c r="C8" s="48">
        <f>F7/(1+I7)^F2</f>
        <v>-75.131480090157751</v>
      </c>
      <c r="D8" s="39">
        <v>0</v>
      </c>
      <c r="E8" s="39">
        <v>0</v>
      </c>
      <c r="F8" s="39">
        <v>0</v>
      </c>
      <c r="G8" s="52">
        <v>0</v>
      </c>
      <c r="H8" s="47">
        <v>121</v>
      </c>
      <c r="I8" s="54">
        <f>IRR(C8:H8)</f>
        <v>0.10000000000000009</v>
      </c>
      <c r="J8" s="45">
        <f>NPV(5%,D8:H8)+C8</f>
        <v>19.675186052525774</v>
      </c>
      <c r="K8" s="106">
        <f>SUM(D8:H8)/-C8</f>
        <v>1.6105100000000006</v>
      </c>
    </row>
    <row r="9" spans="1:16" x14ac:dyDescent="0.25">
      <c r="B9" s="43"/>
      <c r="C9" s="42"/>
      <c r="D9" s="9"/>
      <c r="E9" s="9"/>
      <c r="F9" s="9"/>
      <c r="G9" s="9"/>
      <c r="H9" s="42"/>
      <c r="I9" s="57"/>
      <c r="J9" s="40"/>
      <c r="L9">
        <f>CORREL(J3:J8,K3:K8)</f>
        <v>0.9537575032867438</v>
      </c>
    </row>
    <row r="10" spans="1:16" x14ac:dyDescent="0.25">
      <c r="B10" s="43"/>
      <c r="C10" s="9"/>
      <c r="D10" s="9"/>
      <c r="E10" s="9"/>
      <c r="F10" s="9"/>
      <c r="G10" s="9"/>
      <c r="H10" s="9"/>
      <c r="I10" s="57"/>
      <c r="J10" s="5"/>
    </row>
    <row r="11" spans="1:16" ht="15.75" thickBot="1" x14ac:dyDescent="0.3">
      <c r="B11" s="9"/>
      <c r="C11" s="49">
        <v>0</v>
      </c>
      <c r="D11" s="49">
        <v>1</v>
      </c>
      <c r="E11" s="49">
        <v>2</v>
      </c>
      <c r="F11" s="49">
        <v>3</v>
      </c>
      <c r="G11" s="49">
        <v>4</v>
      </c>
      <c r="H11" s="49">
        <v>5</v>
      </c>
      <c r="I11" s="58" t="s">
        <v>17</v>
      </c>
      <c r="J11" s="41" t="s">
        <v>42</v>
      </c>
      <c r="K11" s="104" t="s">
        <v>52</v>
      </c>
    </row>
    <row r="12" spans="1:16" x14ac:dyDescent="0.25">
      <c r="B12" s="37"/>
      <c r="C12" s="39">
        <v>0</v>
      </c>
      <c r="D12" s="39">
        <v>0</v>
      </c>
      <c r="E12" s="39">
        <v>0</v>
      </c>
      <c r="F12" s="47">
        <v>-100</v>
      </c>
      <c r="G12" s="53">
        <v>10</v>
      </c>
      <c r="H12" s="47">
        <v>110</v>
      </c>
      <c r="I12" s="54"/>
      <c r="J12" s="45">
        <f>NPV(5%,D12:H12)+C12</f>
        <v>8.0311432063016994</v>
      </c>
      <c r="K12" s="105">
        <f>SUM(G12:H12)/-F12</f>
        <v>1.2</v>
      </c>
    </row>
    <row r="13" spans="1:16" x14ac:dyDescent="0.25">
      <c r="B13" s="43"/>
      <c r="C13" s="48">
        <f>F12/(1+D15)^F11</f>
        <v>-86.383759853147595</v>
      </c>
      <c r="D13" s="39">
        <v>0</v>
      </c>
      <c r="E13" s="39">
        <v>0</v>
      </c>
      <c r="F13" s="39">
        <v>0</v>
      </c>
      <c r="G13" s="52">
        <v>0</v>
      </c>
      <c r="H13" s="47">
        <f>G12*(1+G15)^(H11-G11)+H12</f>
        <v>120.5</v>
      </c>
      <c r="I13" s="54">
        <f>IRR(C13:H13)</f>
        <v>6.8835792669837303E-2</v>
      </c>
      <c r="J13" s="45">
        <f>NPV(5%,D13:H13)+C13</f>
        <v>8.0311432063016923</v>
      </c>
      <c r="K13" s="106">
        <f>SUM(D13:H13)/-C13</f>
        <v>1.3949381250000001</v>
      </c>
    </row>
    <row r="14" spans="1:16" x14ac:dyDescent="0.25">
      <c r="B14" s="9"/>
      <c r="E14" s="9"/>
      <c r="F14" s="9"/>
      <c r="G14" s="9"/>
      <c r="H14" s="9"/>
      <c r="I14" s="57"/>
      <c r="J14" s="36"/>
    </row>
    <row r="15" spans="1:16" x14ac:dyDescent="0.25">
      <c r="C15" s="59" t="s">
        <v>15</v>
      </c>
      <c r="D15" s="60">
        <v>0.05</v>
      </c>
      <c r="E15" s="9"/>
      <c r="F15" s="61" t="s">
        <v>51</v>
      </c>
      <c r="G15" s="60">
        <v>0.05</v>
      </c>
      <c r="H15" s="9"/>
      <c r="I15" s="57"/>
      <c r="J15" s="44"/>
      <c r="M15" s="3" t="s">
        <v>166</v>
      </c>
    </row>
    <row r="16" spans="1:16" x14ac:dyDescent="0.25">
      <c r="B16" s="9"/>
      <c r="E16" s="9"/>
      <c r="F16" s="9"/>
      <c r="G16" s="9"/>
      <c r="H16" s="9"/>
      <c r="I16" s="57"/>
      <c r="J16" s="36"/>
      <c r="M16" t="s">
        <v>167</v>
      </c>
    </row>
    <row r="17" spans="1:19" ht="15.75" thickBot="1" x14ac:dyDescent="0.3">
      <c r="B17" s="9"/>
      <c r="C17" s="49">
        <v>0</v>
      </c>
      <c r="D17" s="49">
        <v>1</v>
      </c>
      <c r="E17" s="49">
        <v>2</v>
      </c>
      <c r="F17" s="49">
        <v>3</v>
      </c>
      <c r="G17" s="49">
        <v>4</v>
      </c>
      <c r="H17" s="49">
        <v>5</v>
      </c>
      <c r="I17" s="58" t="s">
        <v>17</v>
      </c>
      <c r="J17" s="41" t="s">
        <v>42</v>
      </c>
      <c r="K17" s="104" t="s">
        <v>52</v>
      </c>
      <c r="M17" t="s">
        <v>168</v>
      </c>
    </row>
    <row r="18" spans="1:19" x14ac:dyDescent="0.25">
      <c r="B18" s="9"/>
      <c r="C18" s="65">
        <v>-100</v>
      </c>
      <c r="D18" s="65">
        <f>-C18*D15</f>
        <v>5</v>
      </c>
      <c r="E18" s="65">
        <f>D18</f>
        <v>5</v>
      </c>
      <c r="F18" s="65">
        <f>E18</f>
        <v>5</v>
      </c>
      <c r="G18" s="65">
        <v>10</v>
      </c>
      <c r="H18" s="65">
        <v>110</v>
      </c>
      <c r="I18" s="56"/>
      <c r="J18" s="45">
        <f>NPV(5%,D18:H18)+C18</f>
        <v>8.0311432063016781</v>
      </c>
      <c r="K18" s="105">
        <f>SUM(D18:H18)/-C18</f>
        <v>1.35</v>
      </c>
      <c r="M18" t="s">
        <v>169</v>
      </c>
    </row>
    <row r="19" spans="1:19" x14ac:dyDescent="0.25">
      <c r="B19" s="9"/>
      <c r="C19" s="46">
        <f>C18</f>
        <v>-100</v>
      </c>
      <c r="D19" s="67">
        <v>0</v>
      </c>
      <c r="E19" s="67">
        <v>0</v>
      </c>
      <c r="F19" s="67">
        <v>0</v>
      </c>
      <c r="G19" s="67">
        <v>0</v>
      </c>
      <c r="H19" s="62">
        <f>SUM(D21:H21)</f>
        <v>137.87815624999999</v>
      </c>
      <c r="I19" s="55">
        <f>IRR(C19:H19)</f>
        <v>6.6348330764454122E-2</v>
      </c>
      <c r="J19" s="45">
        <f>NPV(5%,D19:H19)+C19</f>
        <v>8.0311432063016639</v>
      </c>
      <c r="K19" s="105">
        <f>SUM(D19:H19)/-C19</f>
        <v>1.3787815624999999</v>
      </c>
    </row>
    <row r="20" spans="1:19" x14ac:dyDescent="0.25">
      <c r="B20" s="9"/>
      <c r="C20" s="7"/>
      <c r="D20" s="7"/>
      <c r="E20" s="7"/>
      <c r="F20" s="7"/>
      <c r="G20" s="7"/>
      <c r="H20" s="7"/>
      <c r="I20" s="63"/>
      <c r="J20" s="64"/>
    </row>
    <row r="21" spans="1:19" x14ac:dyDescent="0.25">
      <c r="B21" s="9"/>
      <c r="C21" s="9"/>
      <c r="D21" s="68">
        <f>D18*(1+$G$15)^($H$17-D17)</f>
        <v>6.0775312499999998</v>
      </c>
      <c r="E21" s="68">
        <f>E18*(1+$G$15)^($H$17-E17)</f>
        <v>5.7881250000000009</v>
      </c>
      <c r="F21" s="68">
        <f>F18*(1+$G$15)^($H$17-F17)</f>
        <v>5.5125000000000002</v>
      </c>
      <c r="G21" s="68">
        <f>G18*(1+$G$15)^($H$17-G17)</f>
        <v>10.5</v>
      </c>
      <c r="H21" s="68">
        <f>H18*(1+$G$15)^($H$17-H17)</f>
        <v>110</v>
      </c>
      <c r="I21" s="66"/>
      <c r="J21" s="42"/>
    </row>
    <row r="22" spans="1:19" x14ac:dyDescent="0.25">
      <c r="B22" s="9"/>
      <c r="C22" s="9"/>
      <c r="D22" s="9"/>
      <c r="E22" s="9"/>
      <c r="F22" s="9"/>
      <c r="G22" s="9"/>
      <c r="H22" s="9"/>
      <c r="I22" s="66"/>
      <c r="J22" s="42"/>
    </row>
    <row r="25" spans="1:19" x14ac:dyDescent="0.25">
      <c r="A25" t="s">
        <v>53</v>
      </c>
      <c r="C25" s="75" t="s">
        <v>54</v>
      </c>
    </row>
    <row r="26" spans="1:19" x14ac:dyDescent="0.25">
      <c r="A26" t="s">
        <v>55</v>
      </c>
    </row>
    <row r="27" spans="1:19" ht="15.75" thickBot="1" x14ac:dyDescent="0.3">
      <c r="B27" s="41"/>
      <c r="C27" s="49">
        <v>0</v>
      </c>
      <c r="D27" s="49">
        <v>1</v>
      </c>
      <c r="E27" s="49">
        <v>2</v>
      </c>
      <c r="F27" s="49">
        <v>3</v>
      </c>
      <c r="G27" s="49">
        <v>4</v>
      </c>
      <c r="H27" s="49">
        <v>5</v>
      </c>
      <c r="I27" s="41" t="s">
        <v>1</v>
      </c>
      <c r="J27" s="41" t="s">
        <v>42</v>
      </c>
      <c r="K27" s="104" t="s">
        <v>52</v>
      </c>
      <c r="M27" s="71"/>
      <c r="N27" s="71"/>
      <c r="O27" s="71"/>
      <c r="P27" s="71"/>
      <c r="Q27" s="71"/>
      <c r="R27" s="71"/>
      <c r="S27" s="71"/>
    </row>
    <row r="28" spans="1:19" x14ac:dyDescent="0.25">
      <c r="B28" s="11" t="s">
        <v>45</v>
      </c>
      <c r="C28" s="67">
        <v>0</v>
      </c>
      <c r="D28" s="67">
        <v>0</v>
      </c>
      <c r="E28" s="11">
        <v>0</v>
      </c>
      <c r="F28" s="46">
        <v>-100</v>
      </c>
      <c r="G28" s="51">
        <v>0</v>
      </c>
      <c r="H28" s="62">
        <v>121</v>
      </c>
      <c r="I28" s="55">
        <f>IRR(C28:H28)</f>
        <v>0.10000000000000009</v>
      </c>
      <c r="J28" s="45">
        <f>NPV(5%,D28:H28)+C28</f>
        <v>8.4229062895359235</v>
      </c>
      <c r="K28" s="105">
        <f>H28/-F28</f>
        <v>1.21</v>
      </c>
      <c r="M28" s="71"/>
      <c r="N28" s="71"/>
      <c r="O28" s="71"/>
      <c r="P28" s="71"/>
      <c r="Q28" s="71"/>
      <c r="R28" s="71"/>
      <c r="S28" s="71"/>
    </row>
    <row r="29" spans="1:19" x14ac:dyDescent="0.25">
      <c r="B29" s="39" t="s">
        <v>46</v>
      </c>
      <c r="C29" s="69">
        <v>0</v>
      </c>
      <c r="D29" s="69">
        <v>0</v>
      </c>
      <c r="E29" s="39">
        <v>0</v>
      </c>
      <c r="F29" s="39">
        <v>0</v>
      </c>
      <c r="G29" s="53">
        <v>-100</v>
      </c>
      <c r="H29" s="47">
        <v>121</v>
      </c>
      <c r="I29" s="54">
        <f>IRR(C29:H29)</f>
        <v>0.20999999999999996</v>
      </c>
      <c r="J29" s="45">
        <f>NPV(5%,D29:H29)+C29</f>
        <v>12.536418663495342</v>
      </c>
      <c r="K29" s="105">
        <f>H29/-G29</f>
        <v>1.21</v>
      </c>
      <c r="M29" s="71"/>
      <c r="N29" s="71"/>
      <c r="O29" s="71"/>
      <c r="P29" s="71"/>
      <c r="Q29" s="71"/>
      <c r="R29" s="71"/>
      <c r="S29" s="71"/>
    </row>
    <row r="30" spans="1:19" x14ac:dyDescent="0.25">
      <c r="B30" s="9"/>
      <c r="C30" s="9"/>
      <c r="D30" s="9"/>
      <c r="E30" s="9"/>
      <c r="F30" s="9"/>
      <c r="G30" s="9"/>
      <c r="H30" s="9"/>
      <c r="I30" s="66"/>
      <c r="J30" s="42"/>
      <c r="M30" s="71"/>
      <c r="N30" s="71"/>
      <c r="O30" s="71"/>
      <c r="P30" s="72"/>
      <c r="Q30" s="71"/>
      <c r="R30" s="71"/>
      <c r="S30" s="71"/>
    </row>
    <row r="31" spans="1:19" x14ac:dyDescent="0.25">
      <c r="L31" s="71"/>
      <c r="M31" s="71"/>
      <c r="N31" s="71"/>
      <c r="O31" s="71"/>
      <c r="P31" s="72"/>
      <c r="Q31" s="71"/>
      <c r="R31" s="71"/>
      <c r="S31" s="71"/>
    </row>
    <row r="32" spans="1:19" x14ac:dyDescent="0.25">
      <c r="L32" s="71"/>
      <c r="M32" s="71"/>
      <c r="N32" s="71"/>
      <c r="O32" s="71"/>
      <c r="P32" s="71"/>
      <c r="Q32" s="71"/>
      <c r="R32" s="71"/>
      <c r="S32" s="71"/>
    </row>
    <row r="33" spans="12:19" x14ac:dyDescent="0.25">
      <c r="L33" s="71"/>
      <c r="M33" s="71"/>
      <c r="N33" s="71"/>
      <c r="O33" s="71"/>
      <c r="P33" s="71"/>
      <c r="Q33" s="71"/>
      <c r="R33" s="71"/>
      <c r="S33" s="71"/>
    </row>
    <row r="34" spans="12:19" x14ac:dyDescent="0.25">
      <c r="L34" s="71"/>
      <c r="M34" s="71"/>
      <c r="N34" s="71"/>
      <c r="O34" s="71"/>
      <c r="P34" s="71"/>
      <c r="Q34" s="71"/>
      <c r="R34" s="71"/>
      <c r="S34" s="71"/>
    </row>
    <row r="35" spans="12:19" x14ac:dyDescent="0.25">
      <c r="L35" s="71"/>
      <c r="M35" s="71"/>
      <c r="N35" s="71"/>
      <c r="O35" s="71"/>
      <c r="P35" s="71"/>
      <c r="Q35" s="71"/>
      <c r="R35" s="71"/>
      <c r="S35" s="71"/>
    </row>
    <row r="36" spans="12:19" x14ac:dyDescent="0.25">
      <c r="L36" s="71"/>
      <c r="M36" s="71"/>
      <c r="N36" s="71"/>
      <c r="O36" s="71"/>
      <c r="P36" s="71"/>
      <c r="Q36" s="71"/>
      <c r="R36" s="71"/>
      <c r="S36" s="71"/>
    </row>
    <row r="37" spans="12:19" x14ac:dyDescent="0.25">
      <c r="L37" s="71"/>
      <c r="M37" s="71"/>
      <c r="N37" s="71"/>
      <c r="O37" s="71"/>
      <c r="P37" s="71"/>
      <c r="Q37" s="71"/>
      <c r="R37" s="71"/>
      <c r="S37" s="71"/>
    </row>
    <row r="38" spans="12:19" x14ac:dyDescent="0.25">
      <c r="L38" s="71"/>
      <c r="M38" s="71"/>
      <c r="N38" s="71"/>
      <c r="O38" s="71"/>
      <c r="P38" s="71"/>
      <c r="Q38" s="71"/>
      <c r="R38" s="71"/>
      <c r="S38" s="71"/>
    </row>
    <row r="39" spans="12:19" x14ac:dyDescent="0.25">
      <c r="L39" s="71"/>
      <c r="M39" s="71"/>
      <c r="N39" s="71"/>
      <c r="O39" s="71"/>
      <c r="P39" s="71"/>
      <c r="Q39" s="71"/>
      <c r="R39" s="71"/>
      <c r="S39" s="71"/>
    </row>
    <row r="40" spans="12:19" x14ac:dyDescent="0.25">
      <c r="L40" s="71"/>
      <c r="M40" s="71"/>
      <c r="N40" s="71"/>
      <c r="O40" s="71"/>
      <c r="P40" s="71"/>
      <c r="Q40" s="73"/>
      <c r="R40" s="71"/>
      <c r="S40" s="71"/>
    </row>
    <row r="41" spans="12:19" x14ac:dyDescent="0.25">
      <c r="L41" s="71"/>
      <c r="M41" s="71"/>
      <c r="N41" s="71"/>
      <c r="O41" s="71"/>
      <c r="P41" s="71"/>
      <c r="Q41" s="73"/>
      <c r="R41" s="71"/>
      <c r="S41" s="71"/>
    </row>
    <row r="42" spans="12:19" x14ac:dyDescent="0.25">
      <c r="L42" s="71"/>
      <c r="M42" s="71"/>
      <c r="N42" s="71"/>
      <c r="O42" s="71"/>
      <c r="P42" s="71"/>
      <c r="Q42" s="71"/>
      <c r="R42" s="71"/>
      <c r="S42" s="71"/>
    </row>
    <row r="43" spans="12:19" x14ac:dyDescent="0.25">
      <c r="L43" s="71"/>
      <c r="M43" s="71"/>
      <c r="N43" s="71"/>
      <c r="O43" s="71"/>
      <c r="P43" s="71"/>
      <c r="Q43" s="71"/>
      <c r="R43" s="71"/>
      <c r="S43" s="71"/>
    </row>
    <row r="44" spans="12:19" x14ac:dyDescent="0.25">
      <c r="L44" s="71"/>
      <c r="M44" s="71"/>
      <c r="N44" s="71"/>
      <c r="O44" s="74"/>
      <c r="P44" s="71"/>
      <c r="Q44" s="73"/>
      <c r="R44" s="71"/>
      <c r="S44" s="71"/>
    </row>
    <row r="45" spans="12:19" x14ac:dyDescent="0.25">
      <c r="L45" s="71"/>
      <c r="M45" s="71"/>
      <c r="N45" s="71"/>
      <c r="O45" s="71"/>
      <c r="P45" s="71"/>
      <c r="Q45" s="73"/>
      <c r="R45" s="71"/>
      <c r="S45" s="71"/>
    </row>
    <row r="46" spans="12:19" x14ac:dyDescent="0.25">
      <c r="L46" s="71"/>
      <c r="M46" s="71"/>
      <c r="N46" s="71"/>
      <c r="O46" s="71"/>
      <c r="P46" s="71"/>
      <c r="Q46" s="71"/>
      <c r="R46" s="71"/>
      <c r="S46" s="71"/>
    </row>
    <row r="47" spans="12:19" x14ac:dyDescent="0.25">
      <c r="L47" s="71"/>
      <c r="M47" s="71"/>
      <c r="N47" s="71"/>
      <c r="O47" s="71"/>
      <c r="P47" s="71"/>
      <c r="Q47" s="73"/>
      <c r="R47" s="71"/>
      <c r="S47" s="71"/>
    </row>
    <row r="48" spans="12:19" x14ac:dyDescent="0.25">
      <c r="L48" s="71"/>
      <c r="M48" s="71"/>
      <c r="N48" s="71"/>
      <c r="O48" s="71"/>
      <c r="P48" s="71"/>
      <c r="Q48" s="71"/>
      <c r="R48" s="71"/>
      <c r="S48" s="71"/>
    </row>
    <row r="49" spans="1:19" x14ac:dyDescent="0.25">
      <c r="L49" s="71"/>
      <c r="M49" s="71"/>
      <c r="N49" s="71"/>
      <c r="O49" s="71"/>
      <c r="P49" s="71"/>
      <c r="Q49" s="73"/>
      <c r="R49" s="71"/>
      <c r="S49" s="71"/>
    </row>
    <row r="50" spans="1:19" x14ac:dyDescent="0.25">
      <c r="L50" s="71"/>
      <c r="M50" s="71"/>
      <c r="N50" s="71"/>
      <c r="O50" s="71"/>
      <c r="P50" s="71"/>
      <c r="Q50" s="73"/>
      <c r="R50" s="71"/>
      <c r="S50" s="71"/>
    </row>
    <row r="51" spans="1:19" x14ac:dyDescent="0.25">
      <c r="L51" s="71"/>
      <c r="M51" s="71"/>
      <c r="N51" s="71"/>
      <c r="O51" s="71"/>
      <c r="P51" s="71"/>
      <c r="Q51" s="73"/>
      <c r="R51" s="71"/>
      <c r="S51" s="71"/>
    </row>
    <row r="52" spans="1:19" x14ac:dyDescent="0.25">
      <c r="L52" s="71"/>
      <c r="M52" s="71"/>
      <c r="N52" s="71"/>
      <c r="O52" s="71"/>
      <c r="P52" s="71"/>
      <c r="Q52" s="73"/>
      <c r="R52" s="71"/>
      <c r="S52" s="71"/>
    </row>
    <row r="53" spans="1:19" x14ac:dyDescent="0.25">
      <c r="L53" s="71"/>
      <c r="M53" s="71"/>
      <c r="N53" s="71"/>
      <c r="O53" s="71"/>
      <c r="P53" s="71"/>
      <c r="Q53" s="71"/>
      <c r="R53" s="71"/>
      <c r="S53" s="71"/>
    </row>
    <row r="54" spans="1:19" x14ac:dyDescent="0.25">
      <c r="L54" s="71"/>
      <c r="M54" s="71"/>
      <c r="N54" s="71"/>
      <c r="O54" s="71"/>
      <c r="P54" s="71"/>
      <c r="Q54" s="73"/>
      <c r="R54" s="71"/>
      <c r="S54" s="71"/>
    </row>
    <row r="55" spans="1:19" x14ac:dyDescent="0.25">
      <c r="L55" s="71"/>
      <c r="M55" s="71"/>
      <c r="N55" s="71"/>
      <c r="O55" s="71"/>
      <c r="P55" s="71"/>
      <c r="Q55" s="73"/>
      <c r="R55" s="71"/>
      <c r="S55" s="71"/>
    </row>
    <row r="56" spans="1:19" x14ac:dyDescent="0.25">
      <c r="L56" s="71"/>
      <c r="M56" s="71"/>
      <c r="N56" s="71"/>
      <c r="O56" s="71"/>
      <c r="P56" s="71"/>
      <c r="Q56" s="71"/>
      <c r="R56" s="71"/>
      <c r="S56" s="71"/>
    </row>
    <row r="57" spans="1:19" x14ac:dyDescent="0.25">
      <c r="L57" s="71"/>
      <c r="M57" s="71"/>
      <c r="N57" s="71"/>
      <c r="O57" s="71"/>
      <c r="P57" s="71"/>
      <c r="Q57" s="71"/>
      <c r="R57" s="71"/>
      <c r="S57" s="71"/>
    </row>
    <row r="58" spans="1:19" x14ac:dyDescent="0.25">
      <c r="L58" s="71"/>
      <c r="M58" s="71"/>
      <c r="N58" s="71"/>
      <c r="O58" s="71"/>
      <c r="P58" s="71"/>
      <c r="Q58" s="71"/>
      <c r="R58" s="71"/>
      <c r="S58" s="71"/>
    </row>
    <row r="59" spans="1:19" x14ac:dyDescent="0.25">
      <c r="L59" s="71"/>
      <c r="M59" s="71"/>
      <c r="N59" s="71"/>
      <c r="O59" s="71"/>
      <c r="P59" s="71"/>
      <c r="Q59" s="71"/>
      <c r="R59" s="71"/>
      <c r="S59" s="71"/>
    </row>
    <row r="60" spans="1:19" x14ac:dyDescent="0.25">
      <c r="A60">
        <v>0</v>
      </c>
      <c r="L60" s="71"/>
      <c r="M60" s="71"/>
      <c r="N60" s="71"/>
      <c r="O60" s="71"/>
      <c r="P60" s="71"/>
      <c r="Q60" s="71"/>
      <c r="R60" s="71"/>
      <c r="S60" s="71"/>
    </row>
    <row r="61" spans="1:19" x14ac:dyDescent="0.25">
      <c r="A61">
        <v>1</v>
      </c>
      <c r="L61" s="71"/>
      <c r="M61" s="71"/>
      <c r="N61" s="71"/>
      <c r="O61" s="71"/>
      <c r="P61" s="71"/>
      <c r="Q61" s="71"/>
      <c r="R61" s="71"/>
      <c r="S61" s="71"/>
    </row>
    <row r="62" spans="1:19" x14ac:dyDescent="0.25">
      <c r="A62">
        <v>2</v>
      </c>
    </row>
    <row r="63" spans="1:19" x14ac:dyDescent="0.25">
      <c r="A63">
        <v>3</v>
      </c>
    </row>
    <row r="64" spans="1:19" x14ac:dyDescent="0.25">
      <c r="A64">
        <v>4</v>
      </c>
    </row>
    <row r="65" spans="1:11" x14ac:dyDescent="0.25">
      <c r="A65">
        <v>5</v>
      </c>
    </row>
    <row r="66" spans="1:11" x14ac:dyDescent="0.25">
      <c r="A66">
        <v>6</v>
      </c>
    </row>
    <row r="77" spans="1:11" x14ac:dyDescent="0.25">
      <c r="C77" s="6">
        <f>DATE(2018,1,1)</f>
        <v>43101</v>
      </c>
      <c r="D77" s="6">
        <f>DATE(2018,12,31)</f>
        <v>43465</v>
      </c>
      <c r="E77" s="6">
        <f>DATE(2019,12,31)</f>
        <v>43830</v>
      </c>
      <c r="F77" s="6">
        <f>DATE(2020,12,31)</f>
        <v>44196</v>
      </c>
      <c r="G77" s="6">
        <f>DATE(2021,12,31)</f>
        <v>44561</v>
      </c>
      <c r="H77" s="6">
        <f>DATE(2022,12,31)</f>
        <v>44926</v>
      </c>
      <c r="I77" s="6">
        <f>DATE(2023,12,31)</f>
        <v>45291</v>
      </c>
      <c r="J77" s="13" t="s">
        <v>1</v>
      </c>
    </row>
    <row r="78" spans="1:11" x14ac:dyDescent="0.25">
      <c r="B78" s="7" t="s">
        <v>8</v>
      </c>
      <c r="C78" s="8">
        <v>-12</v>
      </c>
      <c r="D78" s="8">
        <v>0</v>
      </c>
      <c r="E78" s="8">
        <v>0</v>
      </c>
      <c r="F78" s="8">
        <v>40</v>
      </c>
      <c r="G78" s="8">
        <v>0</v>
      </c>
      <c r="H78" s="8">
        <v>0</v>
      </c>
      <c r="I78" s="8">
        <v>0</v>
      </c>
      <c r="J78" s="14">
        <f>IRR(C78:I78)</f>
        <v>0.49380158218005166</v>
      </c>
    </row>
    <row r="79" spans="1:11" x14ac:dyDescent="0.25">
      <c r="B79" s="9" t="s">
        <v>9</v>
      </c>
      <c r="C79" s="10">
        <v>0</v>
      </c>
      <c r="D79" s="10">
        <v>-10</v>
      </c>
      <c r="E79" s="10">
        <v>0</v>
      </c>
      <c r="F79" s="10">
        <v>0</v>
      </c>
      <c r="G79" s="10">
        <v>0</v>
      </c>
      <c r="H79" s="10">
        <v>15</v>
      </c>
      <c r="I79" s="10">
        <v>0</v>
      </c>
      <c r="J79" s="15">
        <f t="shared" ref="J79:J80" si="0">IRR(C79:I79)</f>
        <v>0.10668191970032148</v>
      </c>
      <c r="K79" s="73"/>
    </row>
    <row r="80" spans="1:11" x14ac:dyDescent="0.25">
      <c r="B80" s="11" t="s">
        <v>10</v>
      </c>
      <c r="C80" s="12">
        <v>0</v>
      </c>
      <c r="D80" s="12">
        <v>0</v>
      </c>
      <c r="E80" s="12">
        <v>-4</v>
      </c>
      <c r="F80" s="12">
        <v>0</v>
      </c>
      <c r="G80" s="12">
        <v>0</v>
      </c>
      <c r="H80" s="12">
        <v>0</v>
      </c>
      <c r="I80" s="12">
        <v>5</v>
      </c>
      <c r="J80" s="16">
        <f t="shared" si="0"/>
        <v>5.7371263440564313E-2</v>
      </c>
    </row>
    <row r="81" spans="2:11" x14ac:dyDescent="0.25">
      <c r="B81" s="5" t="s">
        <v>11</v>
      </c>
      <c r="C81">
        <f>SUM(C78:C80)</f>
        <v>-12</v>
      </c>
      <c r="D81">
        <f t="shared" ref="D81:I81" si="1">SUM(D78:D80)</f>
        <v>-10</v>
      </c>
      <c r="E81">
        <f t="shared" si="1"/>
        <v>-4</v>
      </c>
      <c r="F81">
        <f t="shared" si="1"/>
        <v>40</v>
      </c>
      <c r="G81">
        <f t="shared" si="1"/>
        <v>0</v>
      </c>
      <c r="H81">
        <f t="shared" si="1"/>
        <v>15</v>
      </c>
      <c r="I81">
        <f t="shared" si="1"/>
        <v>5</v>
      </c>
      <c r="J81" s="17">
        <f>IRR(C81:I81)</f>
        <v>0.32430639185482679</v>
      </c>
      <c r="K81" s="72"/>
    </row>
    <row r="82" spans="2:11" x14ac:dyDescent="0.25">
      <c r="I82" s="3">
        <f>F81*(1+$J$81)^3</f>
        <v>92.90207558433724</v>
      </c>
      <c r="K82" s="72"/>
    </row>
    <row r="83" spans="2:11" x14ac:dyDescent="0.25">
      <c r="I83" s="3">
        <f>G81*(1+$J$81)^2</f>
        <v>0</v>
      </c>
      <c r="K83" s="72"/>
    </row>
    <row r="84" spans="2:11" x14ac:dyDescent="0.25">
      <c r="I84" s="3">
        <f>H81*(1+$J$81)^2</f>
        <v>26.306811292613251</v>
      </c>
      <c r="K84" s="72"/>
    </row>
    <row r="85" spans="2:11" x14ac:dyDescent="0.25">
      <c r="B85" s="5" t="s">
        <v>11</v>
      </c>
      <c r="C85">
        <f>C81</f>
        <v>-12</v>
      </c>
      <c r="D85">
        <f>D81</f>
        <v>-10</v>
      </c>
      <c r="E85">
        <f>E81</f>
        <v>-4</v>
      </c>
      <c r="F85">
        <v>0</v>
      </c>
      <c r="G85">
        <v>0</v>
      </c>
      <c r="H85">
        <v>0</v>
      </c>
      <c r="I85" s="4">
        <f>SUM(I81:I84)</f>
        <v>124.20888687695049</v>
      </c>
      <c r="J85" s="17">
        <f t="shared" ref="J85" si="2">IRR(C85:I85)</f>
        <v>0.33731766020372556</v>
      </c>
      <c r="K85" s="72"/>
    </row>
    <row r="86" spans="2:11" x14ac:dyDescent="0.25">
      <c r="K86" s="72"/>
    </row>
    <row r="87" spans="2:11" x14ac:dyDescent="0.25">
      <c r="K87" s="72"/>
    </row>
    <row r="88" spans="2:11" x14ac:dyDescent="0.25">
      <c r="B88" s="5" t="s">
        <v>12</v>
      </c>
      <c r="C88" s="24">
        <f>NPV(J81,C81:I81)</f>
        <v>4.1429654708223122E-11</v>
      </c>
    </row>
    <row r="90" spans="2:11" x14ac:dyDescent="0.25">
      <c r="C90" s="6">
        <f>DATE(2018,1,1)</f>
        <v>43101</v>
      </c>
      <c r="D90" s="6">
        <f>DATE(2018,12,31)</f>
        <v>43465</v>
      </c>
      <c r="E90" s="6">
        <f>DATE(2019,12,31)</f>
        <v>43830</v>
      </c>
      <c r="F90" s="6">
        <f>DATE(2020,12,31)</f>
        <v>44196</v>
      </c>
      <c r="G90" s="6">
        <f>DATE(2021,12,31)</f>
        <v>44561</v>
      </c>
      <c r="H90" s="6">
        <f>DATE(2022,12,31)</f>
        <v>44926</v>
      </c>
      <c r="I90" s="6">
        <f>DATE(2023,12,31)</f>
        <v>45291</v>
      </c>
    </row>
    <row r="91" spans="2:11" x14ac:dyDescent="0.25">
      <c r="B91" s="18">
        <f>DATE(2018,1,1)</f>
        <v>43101</v>
      </c>
      <c r="C91" s="21">
        <f>$C$81</f>
        <v>-12</v>
      </c>
      <c r="D91" s="8"/>
      <c r="E91" s="8"/>
      <c r="F91" s="8"/>
      <c r="G91" s="8"/>
      <c r="H91" s="8"/>
      <c r="I91" s="8"/>
    </row>
    <row r="92" spans="2:11" x14ac:dyDescent="0.25">
      <c r="B92" s="19">
        <f>DATE(2018,12,31)</f>
        <v>43465</v>
      </c>
      <c r="C92" s="22">
        <f>D92/(1+$J$81)^A43</f>
        <v>-10</v>
      </c>
      <c r="D92" s="10">
        <f>$D$81</f>
        <v>-10</v>
      </c>
      <c r="E92" s="10"/>
      <c r="F92" s="10"/>
      <c r="G92" s="10"/>
      <c r="H92" s="10"/>
      <c r="I92" s="10"/>
    </row>
    <row r="93" spans="2:11" x14ac:dyDescent="0.25">
      <c r="B93" s="19">
        <f>DATE(2019,12,31)</f>
        <v>43830</v>
      </c>
      <c r="C93" s="22">
        <f>E93/(1+$J$81)^A44</f>
        <v>-4</v>
      </c>
      <c r="D93" s="10"/>
      <c r="E93" s="10">
        <f>$E$81</f>
        <v>-4</v>
      </c>
      <c r="F93" s="10"/>
      <c r="G93" s="10"/>
      <c r="H93" s="10"/>
      <c r="I93" s="10"/>
    </row>
    <row r="94" spans="2:11" x14ac:dyDescent="0.25">
      <c r="B94" s="19">
        <f>DATE(2020,12,31)</f>
        <v>44196</v>
      </c>
      <c r="C94" s="22">
        <f>F94/(1+$J$81)^A45</f>
        <v>40</v>
      </c>
      <c r="D94" s="10"/>
      <c r="E94" s="10"/>
      <c r="F94" s="10">
        <f>$F$81</f>
        <v>40</v>
      </c>
      <c r="G94" s="10"/>
      <c r="H94" s="10"/>
      <c r="I94" s="3">
        <f>F94*(1+$J$81)^3</f>
        <v>92.90207558433724</v>
      </c>
    </row>
    <row r="95" spans="2:11" x14ac:dyDescent="0.25">
      <c r="B95" s="19">
        <f>DATE(2021,12,31)</f>
        <v>44561</v>
      </c>
      <c r="C95" s="22">
        <f>G95/(1+$J$81)^A46</f>
        <v>0</v>
      </c>
      <c r="D95" s="10"/>
      <c r="E95" s="10"/>
      <c r="F95" s="10"/>
      <c r="G95" s="10">
        <f>$G$81</f>
        <v>0</v>
      </c>
      <c r="H95" s="10"/>
      <c r="I95" s="3">
        <f>G95*(1+$J$81)^2</f>
        <v>0</v>
      </c>
    </row>
    <row r="96" spans="2:11" x14ac:dyDescent="0.25">
      <c r="B96" s="19">
        <f>DATE(2022,12,31)</f>
        <v>44926</v>
      </c>
      <c r="C96" s="22">
        <f>H96/(1+$J$81)^A47</f>
        <v>15</v>
      </c>
      <c r="D96" s="10"/>
      <c r="E96" s="10"/>
      <c r="F96" s="10"/>
      <c r="G96" s="10"/>
      <c r="H96" s="10">
        <f>$H$81</f>
        <v>15</v>
      </c>
      <c r="I96" s="3">
        <f>H96*(1+$J$81)^2</f>
        <v>26.306811292613251</v>
      </c>
    </row>
    <row r="97" spans="2:9" x14ac:dyDescent="0.25">
      <c r="B97" s="20">
        <f>DATE(2023,12,31)</f>
        <v>45291</v>
      </c>
      <c r="C97" s="23">
        <f>I97/(1+$J$81)^A48</f>
        <v>5</v>
      </c>
      <c r="D97" s="12"/>
      <c r="E97" s="12"/>
      <c r="F97" s="12"/>
      <c r="G97" s="12"/>
      <c r="H97" s="12"/>
      <c r="I97" s="12">
        <f>$I$81</f>
        <v>5</v>
      </c>
    </row>
    <row r="98" spans="2:9" x14ac:dyDescent="0.25">
      <c r="C98" s="24">
        <f>SUM(C91:C93)</f>
        <v>-26</v>
      </c>
      <c r="D98">
        <v>0</v>
      </c>
      <c r="E98">
        <v>0</v>
      </c>
      <c r="F98">
        <v>0</v>
      </c>
      <c r="G98">
        <v>0</v>
      </c>
      <c r="H98">
        <v>0</v>
      </c>
      <c r="I98" s="4">
        <f>SUM(I94:I97)</f>
        <v>124.20888687695049</v>
      </c>
    </row>
    <row r="99" spans="2:9" x14ac:dyDescent="0.25">
      <c r="C99" s="17">
        <f>IRR(C98:I98)</f>
        <v>0.2977664831564959</v>
      </c>
    </row>
    <row r="100" spans="2:9" x14ac:dyDescent="0.25">
      <c r="C100" s="33">
        <f>NPV(J81,C98:I98)</f>
        <v>-2.2455710312829398</v>
      </c>
    </row>
    <row r="105" spans="2:9" ht="15.75" thickBot="1" x14ac:dyDescent="0.3">
      <c r="C105" t="s">
        <v>13</v>
      </c>
    </row>
    <row r="106" spans="2:9" x14ac:dyDescent="0.25">
      <c r="C106" s="26" t="s">
        <v>15</v>
      </c>
      <c r="D106" s="27">
        <v>7.0000000000000007E-2</v>
      </c>
    </row>
    <row r="107" spans="2:9" ht="15.75" thickBot="1" x14ac:dyDescent="0.3">
      <c r="C107" s="28" t="s">
        <v>16</v>
      </c>
      <c r="D107" s="29">
        <v>0.12</v>
      </c>
    </row>
    <row r="108" spans="2:9" x14ac:dyDescent="0.25">
      <c r="C108" s="6">
        <f>DATE(2018,1,1)</f>
        <v>43101</v>
      </c>
      <c r="D108" s="6">
        <f>DATE(2018,12,31)</f>
        <v>43465</v>
      </c>
      <c r="E108" s="6">
        <f>DATE(2019,12,31)</f>
        <v>43830</v>
      </c>
      <c r="F108" s="6">
        <f>DATE(2020,12,31)</f>
        <v>44196</v>
      </c>
      <c r="G108" s="6">
        <f>DATE(2021,12,31)</f>
        <v>44561</v>
      </c>
      <c r="H108" s="6">
        <f>DATE(2022,12,31)</f>
        <v>44926</v>
      </c>
      <c r="I108" s="6">
        <f>DATE(2023,12,31)</f>
        <v>45291</v>
      </c>
    </row>
    <row r="109" spans="2:9" x14ac:dyDescent="0.25">
      <c r="B109" s="18">
        <f>DATE(2018,1,1)</f>
        <v>43101</v>
      </c>
      <c r="C109" s="21">
        <f>$C$81</f>
        <v>-12</v>
      </c>
      <c r="D109" s="8"/>
      <c r="E109" s="8"/>
      <c r="F109" s="8"/>
      <c r="G109" s="8"/>
      <c r="H109" s="8"/>
      <c r="I109" s="8"/>
    </row>
    <row r="110" spans="2:9" x14ac:dyDescent="0.25">
      <c r="B110" s="19">
        <f>DATE(2018,12,31)</f>
        <v>43465</v>
      </c>
      <c r="C110" s="22">
        <f>D110/(1+$D$106)^A61</f>
        <v>-9.3457943925233646</v>
      </c>
      <c r="D110" s="10">
        <f>$D$81</f>
        <v>-10</v>
      </c>
      <c r="E110" s="10"/>
      <c r="F110" s="10"/>
      <c r="G110" s="10"/>
      <c r="H110" s="10"/>
      <c r="I110" s="10"/>
    </row>
    <row r="111" spans="2:9" x14ac:dyDescent="0.25">
      <c r="B111" s="19">
        <f>DATE(2019,12,31)</f>
        <v>43830</v>
      </c>
      <c r="C111" s="22">
        <f>E111/(1+$D$106)^A62</f>
        <v>-3.4937549130928462</v>
      </c>
      <c r="D111" s="10"/>
      <c r="E111" s="10">
        <f>$E$81</f>
        <v>-4</v>
      </c>
      <c r="F111" s="10"/>
      <c r="G111" s="10"/>
      <c r="H111" s="10"/>
      <c r="I111" s="10"/>
    </row>
    <row r="112" spans="2:9" x14ac:dyDescent="0.25">
      <c r="B112" s="19">
        <f>DATE(2020,12,31)</f>
        <v>44196</v>
      </c>
      <c r="C112" s="10"/>
      <c r="D112" s="10"/>
      <c r="E112" s="10"/>
      <c r="F112" s="10">
        <f>$F$81</f>
        <v>40</v>
      </c>
      <c r="G112" s="10"/>
      <c r="H112" s="10"/>
      <c r="I112" s="22">
        <f>F112*(1+$D$107)^(6-A63)</f>
        <v>56.197120000000012</v>
      </c>
    </row>
    <row r="113" spans="2:9" x14ac:dyDescent="0.25">
      <c r="B113" s="19">
        <f>DATE(2021,12,31)</f>
        <v>44561</v>
      </c>
      <c r="C113" s="10"/>
      <c r="D113" s="10"/>
      <c r="E113" s="10"/>
      <c r="F113" s="10"/>
      <c r="G113" s="10">
        <f>$G$81</f>
        <v>0</v>
      </c>
      <c r="H113" s="10"/>
      <c r="I113" s="22">
        <f>G113*(1+$D$107)^(6-A64)</f>
        <v>0</v>
      </c>
    </row>
    <row r="114" spans="2:9" x14ac:dyDescent="0.25">
      <c r="B114" s="19">
        <f>DATE(2022,12,31)</f>
        <v>44926</v>
      </c>
      <c r="C114" s="10"/>
      <c r="D114" s="10"/>
      <c r="E114" s="10"/>
      <c r="F114" s="10"/>
      <c r="G114" s="10"/>
      <c r="H114" s="10">
        <f>$H$81</f>
        <v>15</v>
      </c>
      <c r="I114" s="22">
        <f>H114*(1+$D$107)^(6-A65)</f>
        <v>16.8</v>
      </c>
    </row>
    <row r="115" spans="2:9" x14ac:dyDescent="0.25">
      <c r="B115" s="20">
        <f>DATE(2023,12,31)</f>
        <v>45291</v>
      </c>
      <c r="C115" s="12"/>
      <c r="D115" s="12"/>
      <c r="E115" s="12"/>
      <c r="F115" s="12"/>
      <c r="G115" s="12"/>
      <c r="H115" s="12"/>
      <c r="I115" s="23">
        <f>$I$81</f>
        <v>5</v>
      </c>
    </row>
    <row r="116" spans="2:9" x14ac:dyDescent="0.25">
      <c r="B116" s="5" t="s">
        <v>14</v>
      </c>
      <c r="C116" s="24">
        <f>SUM(C109:C115)</f>
        <v>-24.839549305616213</v>
      </c>
      <c r="D116">
        <v>0</v>
      </c>
      <c r="E116">
        <v>0</v>
      </c>
      <c r="F116">
        <v>0</v>
      </c>
      <c r="G116">
        <v>0</v>
      </c>
      <c r="H116">
        <v>0</v>
      </c>
      <c r="I116" s="24">
        <f>SUM(I109:I115)</f>
        <v>77.99712000000001</v>
      </c>
    </row>
    <row r="117" spans="2:9" x14ac:dyDescent="0.25">
      <c r="B117" s="5" t="s">
        <v>17</v>
      </c>
      <c r="C117" s="17">
        <f>IRR(C116:I116)</f>
        <v>0.21010338525854477</v>
      </c>
    </row>
  </sheetData>
  <hyperlinks>
    <hyperlink ref="B116" r:id="rId1"/>
    <hyperlink ref="C25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H40" sqref="H40"/>
    </sheetView>
  </sheetViews>
  <sheetFormatPr defaultRowHeight="15" x14ac:dyDescent="0.25"/>
  <cols>
    <col min="1" max="1" width="22.140625" bestFit="1" customWidth="1"/>
    <col min="2" max="2" width="10" customWidth="1"/>
    <col min="6" max="6" width="2" customWidth="1"/>
  </cols>
  <sheetData>
    <row r="1" spans="1:7" x14ac:dyDescent="0.25">
      <c r="A1" t="s">
        <v>57</v>
      </c>
      <c r="B1" s="5"/>
      <c r="C1" t="s">
        <v>56</v>
      </c>
    </row>
    <row r="3" spans="1:7" x14ac:dyDescent="0.25">
      <c r="B3" s="5"/>
      <c r="C3" s="34" t="s">
        <v>58</v>
      </c>
      <c r="D3" s="34" t="s">
        <v>59</v>
      </c>
      <c r="E3" s="34" t="s">
        <v>60</v>
      </c>
      <c r="F3" s="34"/>
      <c r="G3" s="34" t="s">
        <v>63</v>
      </c>
    </row>
    <row r="4" spans="1:7" x14ac:dyDescent="0.25">
      <c r="B4" s="39" t="s">
        <v>61</v>
      </c>
      <c r="C4" s="39">
        <v>100</v>
      </c>
      <c r="D4" s="39">
        <v>200</v>
      </c>
      <c r="E4" s="39">
        <v>500</v>
      </c>
      <c r="F4" s="39"/>
      <c r="G4" s="39">
        <f>SUM(C4:E4)</f>
        <v>800</v>
      </c>
    </row>
    <row r="5" spans="1:7" x14ac:dyDescent="0.25">
      <c r="B5" s="5"/>
      <c r="C5" s="76" t="s">
        <v>62</v>
      </c>
      <c r="D5" s="76"/>
      <c r="E5" s="76"/>
    </row>
    <row r="6" spans="1:7" x14ac:dyDescent="0.25">
      <c r="B6" s="5">
        <v>0</v>
      </c>
      <c r="C6">
        <v>-100</v>
      </c>
      <c r="G6">
        <f t="shared" ref="G6:G16" si="0">SUM(C6:E6)</f>
        <v>-100</v>
      </c>
    </row>
    <row r="7" spans="1:7" x14ac:dyDescent="0.25">
      <c r="B7" s="5">
        <v>1</v>
      </c>
      <c r="C7">
        <v>0</v>
      </c>
      <c r="G7">
        <f t="shared" si="0"/>
        <v>0</v>
      </c>
    </row>
    <row r="8" spans="1:7" x14ac:dyDescent="0.25">
      <c r="B8" s="5">
        <v>2</v>
      </c>
      <c r="C8">
        <v>0</v>
      </c>
      <c r="D8">
        <v>-100</v>
      </c>
      <c r="G8">
        <f t="shared" si="0"/>
        <v>-100</v>
      </c>
    </row>
    <row r="9" spans="1:7" x14ac:dyDescent="0.25">
      <c r="B9" s="5">
        <v>3</v>
      </c>
      <c r="C9">
        <v>0</v>
      </c>
      <c r="D9">
        <v>-100</v>
      </c>
      <c r="G9">
        <f t="shared" si="0"/>
        <v>-100</v>
      </c>
    </row>
    <row r="10" spans="1:7" x14ac:dyDescent="0.25">
      <c r="B10" s="5">
        <v>4</v>
      </c>
      <c r="C10">
        <v>50</v>
      </c>
      <c r="D10">
        <v>0</v>
      </c>
      <c r="G10">
        <f t="shared" si="0"/>
        <v>50</v>
      </c>
    </row>
    <row r="11" spans="1:7" x14ac:dyDescent="0.25">
      <c r="B11" s="5">
        <v>5</v>
      </c>
      <c r="C11">
        <v>0</v>
      </c>
      <c r="D11">
        <v>0</v>
      </c>
      <c r="E11">
        <v>-500</v>
      </c>
      <c r="G11">
        <f t="shared" si="0"/>
        <v>-500</v>
      </c>
    </row>
    <row r="12" spans="1:7" x14ac:dyDescent="0.25">
      <c r="B12" s="5">
        <v>6</v>
      </c>
      <c r="C12">
        <v>50</v>
      </c>
      <c r="D12">
        <v>0</v>
      </c>
      <c r="E12">
        <v>0</v>
      </c>
      <c r="G12">
        <f t="shared" si="0"/>
        <v>50</v>
      </c>
    </row>
    <row r="13" spans="1:7" x14ac:dyDescent="0.25">
      <c r="B13" s="5">
        <v>7</v>
      </c>
      <c r="C13">
        <v>0</v>
      </c>
      <c r="D13">
        <v>0</v>
      </c>
      <c r="E13">
        <v>0</v>
      </c>
      <c r="G13">
        <f t="shared" si="0"/>
        <v>0</v>
      </c>
    </row>
    <row r="14" spans="1:7" x14ac:dyDescent="0.25">
      <c r="B14" s="5">
        <v>8</v>
      </c>
      <c r="C14">
        <v>50</v>
      </c>
      <c r="D14">
        <v>700</v>
      </c>
      <c r="E14">
        <v>0</v>
      </c>
      <c r="G14">
        <f t="shared" si="0"/>
        <v>750</v>
      </c>
    </row>
    <row r="15" spans="1:7" x14ac:dyDescent="0.25">
      <c r="B15" s="5">
        <v>9</v>
      </c>
      <c r="C15">
        <v>0</v>
      </c>
      <c r="D15">
        <v>0</v>
      </c>
      <c r="E15">
        <v>0</v>
      </c>
      <c r="G15">
        <f t="shared" si="0"/>
        <v>0</v>
      </c>
    </row>
    <row r="16" spans="1:7" x14ac:dyDescent="0.25">
      <c r="B16" s="11">
        <v>10</v>
      </c>
      <c r="C16" s="12">
        <v>0</v>
      </c>
      <c r="D16" s="12">
        <v>0</v>
      </c>
      <c r="E16" s="12">
        <v>550</v>
      </c>
      <c r="F16" s="12"/>
      <c r="G16" s="12">
        <f t="shared" si="0"/>
        <v>550</v>
      </c>
    </row>
    <row r="17" spans="2:12" x14ac:dyDescent="0.25">
      <c r="B17" s="5" t="s">
        <v>52</v>
      </c>
      <c r="C17" s="3">
        <f>-SUMIF(C6:C16,"&gt;0")/SUMIF(C6:C16,"&lt;0")</f>
        <v>1.5</v>
      </c>
      <c r="D17" s="3">
        <f>-SUMIF(D6:D16,"&gt;0")/SUMIF(D6:D16,"&lt;0")</f>
        <v>3.5</v>
      </c>
      <c r="E17" s="3">
        <f>-SUMIF(E6:E16,"&gt;0")/SUMIF(E6:E16,"&lt;0")</f>
        <v>1.1000000000000001</v>
      </c>
      <c r="G17" s="77">
        <f>-SUMIF(G6:G16,"&gt;0")/SUMIF(G6:G16,"&lt;0")</f>
        <v>1.75</v>
      </c>
    </row>
    <row r="18" spans="2:12" x14ac:dyDescent="0.25">
      <c r="B18" s="5" t="s">
        <v>64</v>
      </c>
    </row>
    <row r="19" spans="2:12" x14ac:dyDescent="0.25">
      <c r="B19" s="5" t="s">
        <v>52</v>
      </c>
      <c r="C19" s="76">
        <f>SUMPRODUCT(C4:E4,C17:E17)/SUM(C4:E4)</f>
        <v>1.75</v>
      </c>
      <c r="D19" s="76"/>
      <c r="E19" s="76"/>
    </row>
    <row r="21" spans="2:12" x14ac:dyDescent="0.25">
      <c r="L21" t="s">
        <v>65</v>
      </c>
    </row>
    <row r="22" spans="2:12" x14ac:dyDescent="0.25">
      <c r="B22" s="5"/>
      <c r="C22" s="34" t="s">
        <v>58</v>
      </c>
      <c r="D22" s="34" t="s">
        <v>59</v>
      </c>
      <c r="E22" s="34" t="s">
        <v>60</v>
      </c>
      <c r="F22" s="34"/>
      <c r="G22" s="34" t="s">
        <v>63</v>
      </c>
      <c r="L22" t="s">
        <v>66</v>
      </c>
    </row>
    <row r="23" spans="2:12" x14ac:dyDescent="0.25">
      <c r="B23" s="39" t="s">
        <v>61</v>
      </c>
      <c r="C23" s="39">
        <v>100</v>
      </c>
      <c r="D23" s="39">
        <v>200</v>
      </c>
      <c r="E23" s="39">
        <v>500</v>
      </c>
      <c r="F23" s="39"/>
      <c r="G23" s="39">
        <f>SUM(C23:E23)</f>
        <v>800</v>
      </c>
    </row>
    <row r="24" spans="2:12" x14ac:dyDescent="0.25">
      <c r="B24" s="5"/>
      <c r="C24" s="76" t="s">
        <v>62</v>
      </c>
      <c r="D24" s="76"/>
      <c r="E24" s="76"/>
    </row>
    <row r="25" spans="2:12" x14ac:dyDescent="0.25">
      <c r="B25" s="5">
        <v>0</v>
      </c>
      <c r="C25">
        <v>-100</v>
      </c>
      <c r="G25">
        <f t="shared" ref="G25:G35" si="1">SUM(C25:E25)</f>
        <v>-100</v>
      </c>
    </row>
    <row r="26" spans="2:12" x14ac:dyDescent="0.25">
      <c r="B26" s="5">
        <v>1</v>
      </c>
      <c r="C26">
        <v>0</v>
      </c>
      <c r="G26">
        <f t="shared" si="1"/>
        <v>0</v>
      </c>
    </row>
    <row r="27" spans="2:12" x14ac:dyDescent="0.25">
      <c r="B27" s="5">
        <v>2</v>
      </c>
      <c r="C27">
        <v>0</v>
      </c>
      <c r="D27">
        <v>-100</v>
      </c>
      <c r="G27">
        <f t="shared" si="1"/>
        <v>-100</v>
      </c>
    </row>
    <row r="28" spans="2:12" x14ac:dyDescent="0.25">
      <c r="B28" s="5">
        <v>3</v>
      </c>
      <c r="C28">
        <v>0</v>
      </c>
      <c r="D28">
        <v>-100</v>
      </c>
      <c r="G28">
        <f t="shared" si="1"/>
        <v>-100</v>
      </c>
    </row>
    <row r="29" spans="2:12" x14ac:dyDescent="0.25">
      <c r="B29" s="5">
        <v>4</v>
      </c>
      <c r="C29">
        <v>50</v>
      </c>
      <c r="D29">
        <v>0</v>
      </c>
      <c r="G29">
        <f t="shared" si="1"/>
        <v>50</v>
      </c>
    </row>
    <row r="30" spans="2:12" x14ac:dyDescent="0.25">
      <c r="B30" s="5">
        <v>5</v>
      </c>
      <c r="C30">
        <v>0</v>
      </c>
      <c r="D30">
        <v>0</v>
      </c>
      <c r="E30">
        <v>-500</v>
      </c>
      <c r="G30">
        <f t="shared" si="1"/>
        <v>-500</v>
      </c>
    </row>
    <row r="31" spans="2:12" x14ac:dyDescent="0.25">
      <c r="B31" s="5">
        <v>6</v>
      </c>
      <c r="C31">
        <v>50</v>
      </c>
      <c r="D31">
        <v>0</v>
      </c>
      <c r="E31">
        <v>0</v>
      </c>
      <c r="G31">
        <f t="shared" si="1"/>
        <v>50</v>
      </c>
    </row>
    <row r="32" spans="2:12" x14ac:dyDescent="0.25">
      <c r="B32" s="5">
        <v>7</v>
      </c>
      <c r="C32">
        <v>0</v>
      </c>
      <c r="D32">
        <v>0</v>
      </c>
      <c r="E32">
        <v>0</v>
      </c>
      <c r="G32">
        <f t="shared" si="1"/>
        <v>0</v>
      </c>
    </row>
    <row r="33" spans="2:7" x14ac:dyDescent="0.25">
      <c r="B33" s="5">
        <v>8</v>
      </c>
      <c r="C33">
        <v>50</v>
      </c>
      <c r="D33">
        <v>700</v>
      </c>
      <c r="E33">
        <v>0</v>
      </c>
      <c r="G33">
        <f t="shared" si="1"/>
        <v>750</v>
      </c>
    </row>
    <row r="34" spans="2:7" x14ac:dyDescent="0.25">
      <c r="B34" s="5">
        <v>9</v>
      </c>
      <c r="C34">
        <v>0</v>
      </c>
      <c r="D34">
        <v>0</v>
      </c>
      <c r="E34">
        <v>0</v>
      </c>
      <c r="G34">
        <f t="shared" si="1"/>
        <v>0</v>
      </c>
    </row>
    <row r="35" spans="2:7" x14ac:dyDescent="0.25">
      <c r="B35" s="11">
        <v>10</v>
      </c>
      <c r="C35" s="12">
        <v>0</v>
      </c>
      <c r="D35" s="12">
        <v>0</v>
      </c>
      <c r="E35" s="12">
        <v>550</v>
      </c>
      <c r="F35" s="12"/>
      <c r="G35" s="12">
        <f t="shared" si="1"/>
        <v>550</v>
      </c>
    </row>
    <row r="36" spans="2:7" x14ac:dyDescent="0.25">
      <c r="B36" s="5" t="s">
        <v>1</v>
      </c>
      <c r="C36" s="78">
        <f>IRR(C25:C35)</f>
        <v>7.1031635910282276E-2</v>
      </c>
      <c r="D36" s="78">
        <f>IRR(D25:D35)</f>
        <v>0.25434117673170564</v>
      </c>
      <c r="E36" s="78">
        <f>IRR(E25:E35)</f>
        <v>1.9244876491456564E-2</v>
      </c>
      <c r="F36" s="78"/>
      <c r="G36" s="78">
        <f>IRR(G25:G35)</f>
        <v>0.12104777469622485</v>
      </c>
    </row>
    <row r="37" spans="2:7" x14ac:dyDescent="0.25">
      <c r="B37" s="5" t="s">
        <v>64</v>
      </c>
    </row>
    <row r="38" spans="2:7" x14ac:dyDescent="0.25">
      <c r="B38" s="5" t="s">
        <v>1</v>
      </c>
      <c r="C38" s="79">
        <f>SUMPRODUCT(C23:E23,C36:E36)/SUM(C23:E23)</f>
        <v>8.4492296478872048E-2</v>
      </c>
      <c r="D38" s="79"/>
      <c r="E38" s="79"/>
    </row>
  </sheetData>
  <mergeCells count="4">
    <mergeCell ref="C5:E5"/>
    <mergeCell ref="C19:E19"/>
    <mergeCell ref="C24:E24"/>
    <mergeCell ref="C38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"/>
  <sheetViews>
    <sheetView workbookViewId="0">
      <selection activeCell="C5" sqref="C5:C14"/>
    </sheetView>
  </sheetViews>
  <sheetFormatPr defaultRowHeight="15" x14ac:dyDescent="0.25"/>
  <cols>
    <col min="4" max="4" width="10.7109375" bestFit="1" customWidth="1"/>
  </cols>
  <sheetData>
    <row r="1" spans="2:13" x14ac:dyDescent="0.25">
      <c r="B1" t="s">
        <v>67</v>
      </c>
    </row>
    <row r="2" spans="2:13" x14ac:dyDescent="0.25">
      <c r="D2" s="30"/>
    </row>
    <row r="3" spans="2:13" x14ac:dyDescent="0.25">
      <c r="D3" s="30" t="s">
        <v>26</v>
      </c>
    </row>
    <row r="4" spans="2:13" x14ac:dyDescent="0.25">
      <c r="E4" s="5" t="s">
        <v>18</v>
      </c>
      <c r="F4" s="5" t="s">
        <v>19</v>
      </c>
      <c r="G4" t="s">
        <v>35</v>
      </c>
      <c r="H4" t="s">
        <v>5</v>
      </c>
    </row>
    <row r="5" spans="2:13" x14ac:dyDescent="0.25">
      <c r="C5">
        <v>0</v>
      </c>
      <c r="D5" s="30">
        <f>DATE(2001,12,31)</f>
        <v>37256</v>
      </c>
      <c r="E5">
        <v>100</v>
      </c>
      <c r="F5">
        <v>0</v>
      </c>
      <c r="H5">
        <f>-E5+F5+G5</f>
        <v>-100</v>
      </c>
      <c r="I5" s="3"/>
      <c r="J5" s="3"/>
      <c r="K5" s="4"/>
      <c r="L5" s="3"/>
      <c r="M5" s="3"/>
    </row>
    <row r="6" spans="2:13" x14ac:dyDescent="0.25">
      <c r="C6">
        <v>1</v>
      </c>
      <c r="D6" s="30">
        <f>DATE(2002,12,31)</f>
        <v>37621</v>
      </c>
      <c r="E6">
        <v>0</v>
      </c>
      <c r="F6">
        <v>0</v>
      </c>
      <c r="H6">
        <f t="shared" ref="H6:H14" si="0">-E6+F6+G6</f>
        <v>0</v>
      </c>
      <c r="I6" s="3"/>
      <c r="J6" s="3"/>
      <c r="K6" s="4"/>
      <c r="L6" s="3"/>
      <c r="M6" s="3"/>
    </row>
    <row r="7" spans="2:13" x14ac:dyDescent="0.25">
      <c r="C7">
        <v>2</v>
      </c>
      <c r="D7" s="30">
        <f>DATE(2003,12,31)</f>
        <v>37986</v>
      </c>
      <c r="E7">
        <v>100</v>
      </c>
      <c r="F7">
        <v>25</v>
      </c>
      <c r="H7">
        <f t="shared" si="0"/>
        <v>-75</v>
      </c>
      <c r="I7" s="3"/>
      <c r="J7" s="3"/>
      <c r="K7" s="4"/>
      <c r="L7" s="3"/>
      <c r="M7" s="3"/>
    </row>
    <row r="8" spans="2:13" x14ac:dyDescent="0.25">
      <c r="C8">
        <v>3</v>
      </c>
      <c r="D8" s="30">
        <f>DATE(2004,12,31)</f>
        <v>38352</v>
      </c>
      <c r="E8">
        <v>0</v>
      </c>
      <c r="F8">
        <v>0</v>
      </c>
      <c r="H8">
        <f t="shared" si="0"/>
        <v>0</v>
      </c>
      <c r="I8" s="3"/>
      <c r="J8" s="3"/>
      <c r="K8" s="4"/>
      <c r="L8" s="3"/>
      <c r="M8" s="3"/>
    </row>
    <row r="9" spans="2:13" x14ac:dyDescent="0.25">
      <c r="C9">
        <v>4</v>
      </c>
      <c r="D9" s="30">
        <f>D8+365</f>
        <v>38717</v>
      </c>
      <c r="E9">
        <v>50</v>
      </c>
      <c r="F9">
        <v>150</v>
      </c>
      <c r="H9">
        <f t="shared" si="0"/>
        <v>100</v>
      </c>
      <c r="I9" s="3"/>
      <c r="J9" s="3"/>
      <c r="K9" s="4"/>
      <c r="L9" s="3"/>
      <c r="M9" s="3"/>
    </row>
    <row r="10" spans="2:13" x14ac:dyDescent="0.25">
      <c r="C10">
        <v>5</v>
      </c>
      <c r="D10" s="30">
        <f>D9+365</f>
        <v>39082</v>
      </c>
      <c r="E10">
        <v>0</v>
      </c>
      <c r="F10">
        <v>0</v>
      </c>
      <c r="H10">
        <f t="shared" si="0"/>
        <v>0</v>
      </c>
      <c r="I10" s="3"/>
      <c r="J10" s="3"/>
      <c r="K10" s="4"/>
      <c r="L10" s="3"/>
      <c r="M10" s="3"/>
    </row>
    <row r="11" spans="2:13" x14ac:dyDescent="0.25">
      <c r="C11">
        <v>6</v>
      </c>
      <c r="D11" s="30">
        <f>D10+365</f>
        <v>39447</v>
      </c>
      <c r="E11">
        <v>0</v>
      </c>
      <c r="F11">
        <v>150</v>
      </c>
      <c r="H11">
        <f t="shared" si="0"/>
        <v>150</v>
      </c>
      <c r="I11" s="3"/>
      <c r="J11" s="3"/>
      <c r="K11" s="4"/>
      <c r="L11" s="3"/>
      <c r="M11" s="3"/>
    </row>
    <row r="12" spans="2:13" x14ac:dyDescent="0.25">
      <c r="C12">
        <v>7</v>
      </c>
      <c r="D12" s="30">
        <f>D11+366</f>
        <v>39813</v>
      </c>
      <c r="E12">
        <v>0</v>
      </c>
      <c r="F12">
        <v>0</v>
      </c>
      <c r="H12">
        <f t="shared" si="0"/>
        <v>0</v>
      </c>
      <c r="I12" s="3"/>
      <c r="J12" s="3"/>
      <c r="K12" s="4"/>
      <c r="L12" s="3"/>
      <c r="M12" s="3"/>
    </row>
    <row r="13" spans="2:13" x14ac:dyDescent="0.25">
      <c r="C13">
        <v>8</v>
      </c>
      <c r="D13" s="30">
        <f>D12+365</f>
        <v>40178</v>
      </c>
      <c r="E13">
        <v>0</v>
      </c>
      <c r="F13">
        <v>100</v>
      </c>
      <c r="H13">
        <f t="shared" si="0"/>
        <v>100</v>
      </c>
      <c r="I13" s="3"/>
      <c r="J13" s="3"/>
      <c r="K13" s="4"/>
      <c r="L13" s="3"/>
      <c r="M13" s="3"/>
    </row>
    <row r="14" spans="2:13" x14ac:dyDescent="0.25">
      <c r="C14">
        <v>9</v>
      </c>
      <c r="D14" s="30">
        <f>D13+365</f>
        <v>40543</v>
      </c>
      <c r="E14">
        <v>0</v>
      </c>
      <c r="F14">
        <v>0</v>
      </c>
      <c r="G14">
        <v>75</v>
      </c>
      <c r="H14">
        <f t="shared" si="0"/>
        <v>75</v>
      </c>
      <c r="I14" s="3"/>
      <c r="J14" s="3"/>
      <c r="K14" s="4"/>
      <c r="L14" s="3"/>
      <c r="M14" s="3"/>
    </row>
    <row r="15" spans="2:13" x14ac:dyDescent="0.25">
      <c r="E15" s="3">
        <f>SUM(E5:E14)</f>
        <v>250</v>
      </c>
      <c r="F15" s="3">
        <f>SUM(F5:F14)</f>
        <v>425</v>
      </c>
      <c r="L15" s="3"/>
      <c r="M15" s="3"/>
    </row>
    <row r="17" spans="4:13" x14ac:dyDescent="0.25">
      <c r="G17" t="s">
        <v>24</v>
      </c>
      <c r="H17" s="1">
        <f>IRR(H5:H14)</f>
        <v>0.1753276479471777</v>
      </c>
    </row>
    <row r="18" spans="4:13" x14ac:dyDescent="0.25">
      <c r="G18" t="s">
        <v>25</v>
      </c>
      <c r="H18" s="4">
        <f>(F15+G14)/E15</f>
        <v>2</v>
      </c>
    </row>
    <row r="21" spans="4:13" x14ac:dyDescent="0.25">
      <c r="D21" s="30" t="s">
        <v>27</v>
      </c>
    </row>
    <row r="22" spans="4:13" x14ac:dyDescent="0.25">
      <c r="E22" s="5" t="s">
        <v>18</v>
      </c>
      <c r="F22" s="5" t="s">
        <v>19</v>
      </c>
      <c r="G22" t="s">
        <v>35</v>
      </c>
      <c r="H22" t="s">
        <v>5</v>
      </c>
      <c r="I22" t="s">
        <v>0</v>
      </c>
      <c r="J22" t="s">
        <v>29</v>
      </c>
      <c r="K22" t="s">
        <v>28</v>
      </c>
      <c r="L22" t="s">
        <v>5</v>
      </c>
    </row>
    <row r="23" spans="4:13" x14ac:dyDescent="0.25">
      <c r="D23" s="30">
        <f>DATE(2001,12,31)</f>
        <v>37256</v>
      </c>
      <c r="E23">
        <v>100</v>
      </c>
      <c r="F23">
        <v>0</v>
      </c>
      <c r="H23">
        <f>-E23+F23+G23</f>
        <v>-100</v>
      </c>
      <c r="I23" s="3">
        <v>100</v>
      </c>
      <c r="K23" s="3">
        <f>E23</f>
        <v>100</v>
      </c>
      <c r="L23" s="25">
        <f>H23</f>
        <v>-100</v>
      </c>
    </row>
    <row r="24" spans="4:13" x14ac:dyDescent="0.25">
      <c r="D24" s="30">
        <f>DATE(2002,12,31)</f>
        <v>37621</v>
      </c>
      <c r="E24">
        <v>0</v>
      </c>
      <c r="F24">
        <v>0</v>
      </c>
      <c r="H24">
        <f t="shared" ref="H24:H32" si="1">-E24+F24+G24</f>
        <v>0</v>
      </c>
      <c r="I24" s="3">
        <v>77.900000000000006</v>
      </c>
      <c r="J24" s="4">
        <f>I24/I23</f>
        <v>0.77900000000000003</v>
      </c>
      <c r="K24" s="3">
        <f>K23*J24+E24-F24</f>
        <v>77.900000000000006</v>
      </c>
      <c r="L24" s="25">
        <f t="shared" ref="L24:L31" si="2">H24</f>
        <v>0</v>
      </c>
    </row>
    <row r="25" spans="4:13" x14ac:dyDescent="0.25">
      <c r="D25" s="30">
        <f>DATE(2003,12,31)</f>
        <v>37986</v>
      </c>
      <c r="E25">
        <v>100</v>
      </c>
      <c r="F25">
        <v>25</v>
      </c>
      <c r="H25">
        <f t="shared" si="1"/>
        <v>-75</v>
      </c>
      <c r="I25" s="3">
        <v>100.24</v>
      </c>
      <c r="J25" s="4">
        <f t="shared" ref="J25:J32" si="3">I25/I24</f>
        <v>1.286777920410783</v>
      </c>
      <c r="K25" s="3">
        <f t="shared" ref="K25:K32" si="4">K24*J25+E25-F25</f>
        <v>175.24</v>
      </c>
      <c r="L25" s="25">
        <f t="shared" si="2"/>
        <v>-75</v>
      </c>
    </row>
    <row r="26" spans="4:13" x14ac:dyDescent="0.25">
      <c r="D26" s="30">
        <f>DATE(2004,12,31)</f>
        <v>38352</v>
      </c>
      <c r="E26">
        <v>0</v>
      </c>
      <c r="F26">
        <v>0</v>
      </c>
      <c r="H26">
        <f t="shared" si="1"/>
        <v>0</v>
      </c>
      <c r="I26" s="3">
        <v>111.15</v>
      </c>
      <c r="J26" s="4">
        <f t="shared" si="3"/>
        <v>1.1088387869114127</v>
      </c>
      <c r="K26" s="3">
        <f t="shared" si="4"/>
        <v>194.31290901835598</v>
      </c>
      <c r="L26" s="25">
        <f t="shared" si="2"/>
        <v>0</v>
      </c>
    </row>
    <row r="27" spans="4:13" x14ac:dyDescent="0.25">
      <c r="D27" s="30">
        <f>D26+365</f>
        <v>38717</v>
      </c>
      <c r="E27">
        <v>50</v>
      </c>
      <c r="F27">
        <v>150</v>
      </c>
      <c r="H27">
        <f t="shared" si="1"/>
        <v>100</v>
      </c>
      <c r="I27" s="3">
        <v>116.61</v>
      </c>
      <c r="J27" s="4">
        <f t="shared" si="3"/>
        <v>1.0491228070175438</v>
      </c>
      <c r="K27" s="3">
        <f t="shared" si="4"/>
        <v>103.85810454908221</v>
      </c>
      <c r="L27" s="25">
        <f t="shared" si="2"/>
        <v>100</v>
      </c>
    </row>
    <row r="28" spans="4:13" x14ac:dyDescent="0.25">
      <c r="D28" s="30">
        <f>D27+365</f>
        <v>39082</v>
      </c>
      <c r="E28">
        <v>0</v>
      </c>
      <c r="F28">
        <v>0</v>
      </c>
      <c r="H28">
        <f t="shared" si="1"/>
        <v>0</v>
      </c>
      <c r="I28" s="3">
        <v>135.03</v>
      </c>
      <c r="J28" s="4">
        <f t="shared" si="3"/>
        <v>1.1579624388988938</v>
      </c>
      <c r="K28" s="3">
        <f t="shared" si="4"/>
        <v>120.26378404307154</v>
      </c>
      <c r="L28" s="25">
        <f t="shared" si="2"/>
        <v>0</v>
      </c>
    </row>
    <row r="29" spans="4:13" x14ac:dyDescent="0.25">
      <c r="D29" s="30">
        <f>D28+365</f>
        <v>39447</v>
      </c>
      <c r="E29">
        <v>0</v>
      </c>
      <c r="F29">
        <v>150</v>
      </c>
      <c r="H29">
        <f t="shared" si="1"/>
        <v>150</v>
      </c>
      <c r="I29" s="3">
        <v>142.44999999999999</v>
      </c>
      <c r="J29" s="4">
        <f t="shared" si="3"/>
        <v>1.0549507516848107</v>
      </c>
      <c r="K29" s="3">
        <f t="shared" si="4"/>
        <v>-23.12763062330194</v>
      </c>
      <c r="L29" s="25">
        <f t="shared" si="2"/>
        <v>150</v>
      </c>
    </row>
    <row r="30" spans="4:13" x14ac:dyDescent="0.25">
      <c r="D30" s="30">
        <f>D29+366</f>
        <v>39813</v>
      </c>
      <c r="E30">
        <v>0</v>
      </c>
      <c r="F30">
        <v>0</v>
      </c>
      <c r="H30">
        <f t="shared" si="1"/>
        <v>0</v>
      </c>
      <c r="I30" s="3">
        <v>89.75</v>
      </c>
      <c r="J30" s="4">
        <f t="shared" si="3"/>
        <v>0.63004563004563008</v>
      </c>
      <c r="K30" s="3">
        <f t="shared" si="4"/>
        <v>-14.571462607520878</v>
      </c>
      <c r="L30" s="25">
        <f t="shared" si="2"/>
        <v>0</v>
      </c>
    </row>
    <row r="31" spans="4:13" x14ac:dyDescent="0.25">
      <c r="D31" s="30">
        <f>D30+365</f>
        <v>40178</v>
      </c>
      <c r="E31">
        <v>0</v>
      </c>
      <c r="F31">
        <v>100</v>
      </c>
      <c r="H31">
        <f t="shared" si="1"/>
        <v>100</v>
      </c>
      <c r="I31" s="3">
        <v>113.5</v>
      </c>
      <c r="J31" s="4">
        <f t="shared" si="3"/>
        <v>1.2646239554317549</v>
      </c>
      <c r="K31" s="3">
        <f t="shared" si="4"/>
        <v>-118.42742067914897</v>
      </c>
      <c r="L31" s="25">
        <f t="shared" si="2"/>
        <v>100</v>
      </c>
    </row>
    <row r="32" spans="4:13" x14ac:dyDescent="0.25">
      <c r="D32" s="30">
        <f>D31+365</f>
        <v>40543</v>
      </c>
      <c r="E32">
        <v>0</v>
      </c>
      <c r="F32">
        <v>0</v>
      </c>
      <c r="G32">
        <v>75</v>
      </c>
      <c r="H32">
        <f t="shared" si="1"/>
        <v>75</v>
      </c>
      <c r="I32" s="3">
        <v>130.59</v>
      </c>
      <c r="J32" s="4">
        <f t="shared" si="3"/>
        <v>1.1505726872246695</v>
      </c>
      <c r="K32" s="3">
        <f t="shared" si="4"/>
        <v>-136.25935565189482</v>
      </c>
      <c r="L32" s="25">
        <f>K32</f>
        <v>-136.25935565189482</v>
      </c>
      <c r="M32" t="s">
        <v>31</v>
      </c>
    </row>
    <row r="33" spans="4:16" x14ac:dyDescent="0.25">
      <c r="E33" s="3">
        <f>SUM(E23:E32)</f>
        <v>250</v>
      </c>
      <c r="F33" s="3">
        <f>SUM(F23:F32)</f>
        <v>425</v>
      </c>
    </row>
    <row r="35" spans="4:16" x14ac:dyDescent="0.25">
      <c r="G35" t="s">
        <v>24</v>
      </c>
      <c r="H35" s="1">
        <f>IRR(H23:H32)</f>
        <v>0.1753276479471777</v>
      </c>
      <c r="K35" t="s">
        <v>30</v>
      </c>
      <c r="L35" s="1">
        <f>IRR(L23:L32)</f>
        <v>6.0524050851127553E-2</v>
      </c>
    </row>
    <row r="36" spans="4:16" x14ac:dyDescent="0.25">
      <c r="G36" t="s">
        <v>25</v>
      </c>
      <c r="H36" s="4">
        <f>(F33+G32)/E33</f>
        <v>2</v>
      </c>
    </row>
    <row r="38" spans="4:16" x14ac:dyDescent="0.25">
      <c r="D38" t="s">
        <v>4</v>
      </c>
    </row>
    <row r="39" spans="4:16" x14ac:dyDescent="0.25">
      <c r="E39" s="5" t="s">
        <v>18</v>
      </c>
      <c r="F39" s="5" t="s">
        <v>19</v>
      </c>
      <c r="G39" t="s">
        <v>35</v>
      </c>
      <c r="H39" t="s">
        <v>5</v>
      </c>
      <c r="I39" t="s">
        <v>0</v>
      </c>
      <c r="J39" t="s">
        <v>18</v>
      </c>
      <c r="K39" t="s">
        <v>32</v>
      </c>
      <c r="L39" t="s">
        <v>5</v>
      </c>
    </row>
    <row r="40" spans="4:16" x14ac:dyDescent="0.25">
      <c r="D40" s="30">
        <f>DATE(2001,12,31)</f>
        <v>37256</v>
      </c>
      <c r="E40">
        <v>100</v>
      </c>
      <c r="F40">
        <v>0</v>
      </c>
      <c r="H40">
        <f>-E40+F40+G40</f>
        <v>-100</v>
      </c>
      <c r="I40" s="3">
        <v>100</v>
      </c>
      <c r="J40">
        <f>E40</f>
        <v>100</v>
      </c>
      <c r="K40" s="3">
        <f>$K$50*F40</f>
        <v>0</v>
      </c>
      <c r="L40" s="3">
        <f>-J40+K40+G40</f>
        <v>-100</v>
      </c>
      <c r="O40" s="3"/>
      <c r="P40" s="25"/>
    </row>
    <row r="41" spans="4:16" x14ac:dyDescent="0.25">
      <c r="D41" s="30">
        <f>DATE(2002,12,31)</f>
        <v>37621</v>
      </c>
      <c r="E41">
        <v>0</v>
      </c>
      <c r="F41">
        <v>0</v>
      </c>
      <c r="H41">
        <f t="shared" ref="H41:H49" si="5">-E41+F41+G41</f>
        <v>0</v>
      </c>
      <c r="I41" s="3">
        <v>77.900000000000006</v>
      </c>
      <c r="J41">
        <f t="shared" ref="J41:J49" si="6">E41</f>
        <v>0</v>
      </c>
      <c r="K41" s="3">
        <f t="shared" ref="K41:K49" si="7">$K$50*F41</f>
        <v>0</v>
      </c>
      <c r="L41" s="3">
        <f t="shared" ref="L41:L49" si="8">-J41+K41+G41</f>
        <v>0</v>
      </c>
      <c r="N41" s="4"/>
      <c r="O41" s="3"/>
      <c r="P41" s="25"/>
    </row>
    <row r="42" spans="4:16" x14ac:dyDescent="0.25">
      <c r="D42" s="30">
        <f>DATE(2003,12,31)</f>
        <v>37986</v>
      </c>
      <c r="E42">
        <v>100</v>
      </c>
      <c r="F42">
        <v>25</v>
      </c>
      <c r="H42">
        <f t="shared" si="5"/>
        <v>-75</v>
      </c>
      <c r="I42" s="3">
        <v>100.24</v>
      </c>
      <c r="J42">
        <f t="shared" si="6"/>
        <v>100</v>
      </c>
      <c r="K42" s="3">
        <f t="shared" si="7"/>
        <v>13.344209295554377</v>
      </c>
      <c r="L42" s="3">
        <f t="shared" si="8"/>
        <v>-86.655790704445621</v>
      </c>
      <c r="N42" s="4"/>
      <c r="O42" s="3"/>
      <c r="P42" s="25"/>
    </row>
    <row r="43" spans="4:16" x14ac:dyDescent="0.25">
      <c r="D43" s="30">
        <f>DATE(2004,12,31)</f>
        <v>38352</v>
      </c>
      <c r="E43">
        <v>0</v>
      </c>
      <c r="F43">
        <v>0</v>
      </c>
      <c r="H43">
        <f t="shared" si="5"/>
        <v>0</v>
      </c>
      <c r="I43" s="3">
        <v>111.15</v>
      </c>
      <c r="J43">
        <f t="shared" si="6"/>
        <v>0</v>
      </c>
      <c r="K43" s="3">
        <f t="shared" si="7"/>
        <v>0</v>
      </c>
      <c r="L43" s="3">
        <f t="shared" si="8"/>
        <v>0</v>
      </c>
      <c r="N43" s="4"/>
      <c r="O43" s="3"/>
      <c r="P43" s="25"/>
    </row>
    <row r="44" spans="4:16" x14ac:dyDescent="0.25">
      <c r="D44" s="30">
        <f>D43+365</f>
        <v>38717</v>
      </c>
      <c r="E44">
        <v>50</v>
      </c>
      <c r="F44">
        <v>150</v>
      </c>
      <c r="H44">
        <f t="shared" si="5"/>
        <v>100</v>
      </c>
      <c r="I44" s="3">
        <v>116.61</v>
      </c>
      <c r="J44">
        <f t="shared" si="6"/>
        <v>50</v>
      </c>
      <c r="K44" s="3">
        <f t="shared" si="7"/>
        <v>80.065255773326257</v>
      </c>
      <c r="L44" s="3">
        <f t="shared" si="8"/>
        <v>30.065255773326257</v>
      </c>
      <c r="N44" s="4"/>
      <c r="O44" s="3"/>
      <c r="P44" s="25"/>
    </row>
    <row r="45" spans="4:16" x14ac:dyDescent="0.25">
      <c r="D45" s="30">
        <f>D44+365</f>
        <v>39082</v>
      </c>
      <c r="E45">
        <v>0</v>
      </c>
      <c r="F45">
        <v>0</v>
      </c>
      <c r="H45">
        <f t="shared" si="5"/>
        <v>0</v>
      </c>
      <c r="I45" s="3">
        <v>135.03</v>
      </c>
      <c r="J45">
        <f t="shared" si="6"/>
        <v>0</v>
      </c>
      <c r="K45" s="3">
        <f t="shared" si="7"/>
        <v>0</v>
      </c>
      <c r="L45" s="3">
        <f t="shared" si="8"/>
        <v>0</v>
      </c>
      <c r="N45" s="4"/>
      <c r="O45" s="3"/>
      <c r="P45" s="25"/>
    </row>
    <row r="46" spans="4:16" x14ac:dyDescent="0.25">
      <c r="D46" s="30">
        <f>D45+365</f>
        <v>39447</v>
      </c>
      <c r="E46">
        <v>0</v>
      </c>
      <c r="F46">
        <v>150</v>
      </c>
      <c r="H46">
        <f t="shared" si="5"/>
        <v>150</v>
      </c>
      <c r="I46" s="3">
        <v>142.44999999999999</v>
      </c>
      <c r="J46">
        <f t="shared" si="6"/>
        <v>0</v>
      </c>
      <c r="K46" s="3">
        <f t="shared" si="7"/>
        <v>80.065255773326257</v>
      </c>
      <c r="L46" s="3">
        <f t="shared" si="8"/>
        <v>80.065255773326257</v>
      </c>
      <c r="N46" s="4"/>
      <c r="O46" s="3"/>
      <c r="P46" s="25"/>
    </row>
    <row r="47" spans="4:16" x14ac:dyDescent="0.25">
      <c r="D47" s="30">
        <f>D46+366</f>
        <v>39813</v>
      </c>
      <c r="E47">
        <v>0</v>
      </c>
      <c r="F47">
        <v>0</v>
      </c>
      <c r="H47">
        <f t="shared" si="5"/>
        <v>0</v>
      </c>
      <c r="I47" s="3">
        <v>89.75</v>
      </c>
      <c r="J47">
        <f t="shared" si="6"/>
        <v>0</v>
      </c>
      <c r="K47" s="3">
        <f t="shared" si="7"/>
        <v>0</v>
      </c>
      <c r="L47" s="3">
        <f t="shared" si="8"/>
        <v>0</v>
      </c>
      <c r="N47" s="4"/>
      <c r="O47" s="3"/>
      <c r="P47" s="25"/>
    </row>
    <row r="48" spans="4:16" x14ac:dyDescent="0.25">
      <c r="D48" s="30">
        <f>D47+365</f>
        <v>40178</v>
      </c>
      <c r="E48">
        <v>0</v>
      </c>
      <c r="F48">
        <v>100</v>
      </c>
      <c r="H48">
        <f t="shared" si="5"/>
        <v>100</v>
      </c>
      <c r="I48" s="3">
        <v>113.5</v>
      </c>
      <c r="J48">
        <f t="shared" si="6"/>
        <v>0</v>
      </c>
      <c r="K48" s="3">
        <f t="shared" si="7"/>
        <v>53.376837182217507</v>
      </c>
      <c r="L48" s="3">
        <f t="shared" si="8"/>
        <v>53.376837182217507</v>
      </c>
      <c r="N48" s="4"/>
      <c r="O48" s="3"/>
      <c r="P48" s="25"/>
    </row>
    <row r="49" spans="4:16" x14ac:dyDescent="0.25">
      <c r="D49" s="30">
        <f>D48+365</f>
        <v>40543</v>
      </c>
      <c r="E49">
        <v>0</v>
      </c>
      <c r="F49">
        <v>0</v>
      </c>
      <c r="G49">
        <v>75</v>
      </c>
      <c r="H49">
        <f t="shared" si="5"/>
        <v>75</v>
      </c>
      <c r="I49" s="3">
        <v>130.59</v>
      </c>
      <c r="J49">
        <f t="shared" si="6"/>
        <v>0</v>
      </c>
      <c r="K49" s="3">
        <f t="shared" si="7"/>
        <v>0</v>
      </c>
      <c r="L49" s="3">
        <f t="shared" si="8"/>
        <v>75</v>
      </c>
      <c r="N49" s="4"/>
      <c r="O49" s="3"/>
      <c r="P49" s="25"/>
    </row>
    <row r="50" spans="4:16" x14ac:dyDescent="0.25">
      <c r="E50" s="3">
        <f>SUM(E40:E49)</f>
        <v>250</v>
      </c>
      <c r="F50" s="3">
        <f>SUM(F40:F49)</f>
        <v>425</v>
      </c>
      <c r="J50" t="s">
        <v>33</v>
      </c>
      <c r="K50" s="3">
        <f>(J84-G49)/K84</f>
        <v>0.53376837182217507</v>
      </c>
    </row>
    <row r="52" spans="4:16" x14ac:dyDescent="0.25">
      <c r="G52" t="s">
        <v>24</v>
      </c>
      <c r="H52" s="1">
        <f>IRR(H40:H49)</f>
        <v>0.1753276479471777</v>
      </c>
      <c r="K52" t="s">
        <v>34</v>
      </c>
      <c r="L52" s="1">
        <f>IRR(L40:L49)</f>
        <v>4.0521380198884183E-2</v>
      </c>
      <c r="P52" s="1"/>
    </row>
    <row r="53" spans="4:16" x14ac:dyDescent="0.25">
      <c r="G53" t="s">
        <v>25</v>
      </c>
      <c r="H53" s="4">
        <f>(F50+G49)/E50</f>
        <v>2</v>
      </c>
      <c r="L53" s="1"/>
    </row>
    <row r="56" spans="4:16" x14ac:dyDescent="0.25">
      <c r="D56" t="s">
        <v>6</v>
      </c>
    </row>
    <row r="57" spans="4:16" x14ac:dyDescent="0.25">
      <c r="E57" s="5" t="s">
        <v>18</v>
      </c>
      <c r="F57" s="5" t="s">
        <v>19</v>
      </c>
      <c r="G57" t="s">
        <v>35</v>
      </c>
      <c r="H57" t="s">
        <v>5</v>
      </c>
      <c r="I57" t="s">
        <v>0</v>
      </c>
      <c r="J57" t="s">
        <v>18</v>
      </c>
      <c r="K57" t="s">
        <v>38</v>
      </c>
      <c r="L57" t="s">
        <v>37</v>
      </c>
      <c r="M57" t="s">
        <v>36</v>
      </c>
      <c r="N57" t="s">
        <v>5</v>
      </c>
    </row>
    <row r="58" spans="4:16" x14ac:dyDescent="0.25">
      <c r="D58" s="30">
        <f>DATE(2001,12,31)</f>
        <v>37256</v>
      </c>
      <c r="E58">
        <v>100</v>
      </c>
      <c r="F58">
        <v>0</v>
      </c>
      <c r="G58" s="70">
        <v>100</v>
      </c>
      <c r="H58">
        <f>-E58+F58</f>
        <v>-100</v>
      </c>
      <c r="I58" s="3">
        <v>100</v>
      </c>
      <c r="J58">
        <f>E58</f>
        <v>100</v>
      </c>
      <c r="K58" s="4">
        <f>F58/(F58+G58)</f>
        <v>0</v>
      </c>
      <c r="L58" s="3">
        <f>J58</f>
        <v>100</v>
      </c>
      <c r="M58" s="3">
        <v>0</v>
      </c>
      <c r="N58" s="3">
        <f>-J58+M58</f>
        <v>-100</v>
      </c>
    </row>
    <row r="59" spans="4:16" x14ac:dyDescent="0.25">
      <c r="D59" s="30">
        <f>DATE(2002,12,31)</f>
        <v>37621</v>
      </c>
      <c r="E59">
        <v>0</v>
      </c>
      <c r="F59">
        <v>0</v>
      </c>
      <c r="G59" s="70">
        <v>95</v>
      </c>
      <c r="H59">
        <f t="shared" ref="H59:H67" si="9">-E59+F59</f>
        <v>0</v>
      </c>
      <c r="I59" s="3">
        <v>77.900000000000006</v>
      </c>
      <c r="J59">
        <f t="shared" ref="J59:J67" si="10">E59</f>
        <v>0</v>
      </c>
      <c r="K59" s="4">
        <f t="shared" ref="K59:K67" si="11">F59/(F59+G59)</f>
        <v>0</v>
      </c>
      <c r="L59" s="3">
        <f>(1-K59)*(L58*I59/I58+E59)</f>
        <v>77.900000000000006</v>
      </c>
      <c r="M59" s="3">
        <f t="shared" ref="M59:M67" si="12">K59*(L58*I59/I58+J59)</f>
        <v>0</v>
      </c>
      <c r="N59" s="3">
        <f t="shared" ref="N59:N67" si="13">-J59+M59</f>
        <v>0</v>
      </c>
    </row>
    <row r="60" spans="4:16" x14ac:dyDescent="0.25">
      <c r="D60" s="30">
        <f>DATE(2003,12,31)</f>
        <v>37986</v>
      </c>
      <c r="E60">
        <v>100</v>
      </c>
      <c r="F60">
        <v>25</v>
      </c>
      <c r="G60" s="70">
        <v>190</v>
      </c>
      <c r="H60">
        <f t="shared" si="9"/>
        <v>-75</v>
      </c>
      <c r="I60" s="3">
        <v>100.24</v>
      </c>
      <c r="J60">
        <f t="shared" si="10"/>
        <v>100</v>
      </c>
      <c r="K60" s="4">
        <f t="shared" si="11"/>
        <v>0.11627906976744186</v>
      </c>
      <c r="L60" s="3">
        <f>(1-K60)*(L59*I60/I59+E60)</f>
        <v>176.95627906976745</v>
      </c>
      <c r="M60" s="3">
        <f t="shared" si="12"/>
        <v>23.283720930232558</v>
      </c>
      <c r="N60" s="3">
        <f t="shared" si="13"/>
        <v>-76.716279069767438</v>
      </c>
    </row>
    <row r="61" spans="4:16" x14ac:dyDescent="0.25">
      <c r="D61" s="30">
        <f>DATE(2004,12,31)</f>
        <v>38352</v>
      </c>
      <c r="E61">
        <v>0</v>
      </c>
      <c r="F61">
        <v>0</v>
      </c>
      <c r="G61" s="70">
        <v>235</v>
      </c>
      <c r="H61">
        <f t="shared" si="9"/>
        <v>0</v>
      </c>
      <c r="I61" s="3">
        <v>111.15</v>
      </c>
      <c r="J61">
        <f t="shared" si="10"/>
        <v>0</v>
      </c>
      <c r="K61" s="4">
        <f t="shared" si="11"/>
        <v>0</v>
      </c>
      <c r="L61" s="3">
        <f>(1-K61)*(L60*I61/I60+E61)</f>
        <v>196.21598582007834</v>
      </c>
      <c r="M61" s="3">
        <f t="shared" si="12"/>
        <v>0</v>
      </c>
      <c r="N61" s="3">
        <f t="shared" si="13"/>
        <v>0</v>
      </c>
    </row>
    <row r="62" spans="4:16" x14ac:dyDescent="0.25">
      <c r="D62" s="30">
        <f>D61+365</f>
        <v>38717</v>
      </c>
      <c r="E62">
        <v>50</v>
      </c>
      <c r="F62">
        <v>150</v>
      </c>
      <c r="G62" s="70">
        <v>170</v>
      </c>
      <c r="H62">
        <f t="shared" si="9"/>
        <v>100</v>
      </c>
      <c r="I62" s="3">
        <v>116.61</v>
      </c>
      <c r="J62">
        <f t="shared" si="10"/>
        <v>50</v>
      </c>
      <c r="K62" s="4">
        <f t="shared" si="11"/>
        <v>0.46875</v>
      </c>
      <c r="L62" s="3">
        <f>(1-K62)*(L61*I62/I61+E62)</f>
        <v>135.92279121967744</v>
      </c>
      <c r="M62" s="3">
        <f t="shared" si="12"/>
        <v>119.93187460559773</v>
      </c>
      <c r="N62" s="3">
        <f t="shared" si="13"/>
        <v>69.931874605597727</v>
      </c>
    </row>
    <row r="63" spans="4:16" x14ac:dyDescent="0.25">
      <c r="D63" s="30">
        <f>D62+365</f>
        <v>39082</v>
      </c>
      <c r="E63">
        <v>0</v>
      </c>
      <c r="F63">
        <v>0</v>
      </c>
      <c r="G63" s="70">
        <v>240</v>
      </c>
      <c r="H63">
        <f t="shared" si="9"/>
        <v>0</v>
      </c>
      <c r="I63" s="3">
        <v>135.03</v>
      </c>
      <c r="J63">
        <f t="shared" si="10"/>
        <v>0</v>
      </c>
      <c r="K63" s="4">
        <f t="shared" si="11"/>
        <v>0</v>
      </c>
      <c r="L63" s="3">
        <f>(1-K63)*(L62*I63/I62+E63)</f>
        <v>157.39348682268283</v>
      </c>
      <c r="M63" s="3">
        <f t="shared" si="12"/>
        <v>0</v>
      </c>
      <c r="N63" s="3">
        <f t="shared" si="13"/>
        <v>0</v>
      </c>
    </row>
    <row r="64" spans="4:16" x14ac:dyDescent="0.25">
      <c r="D64" s="30">
        <f>D63+365</f>
        <v>39447</v>
      </c>
      <c r="E64">
        <v>0</v>
      </c>
      <c r="F64">
        <v>150</v>
      </c>
      <c r="G64" s="70">
        <v>130</v>
      </c>
      <c r="H64">
        <f t="shared" si="9"/>
        <v>150</v>
      </c>
      <c r="I64" s="3">
        <v>142.44999999999999</v>
      </c>
      <c r="J64">
        <f t="shared" si="10"/>
        <v>0</v>
      </c>
      <c r="K64" s="4">
        <f t="shared" si="11"/>
        <v>0.5357142857142857</v>
      </c>
      <c r="L64" s="3">
        <f>(1-K64)*(L63*I64/I63+E64)</f>
        <v>77.091103715731208</v>
      </c>
      <c r="M64" s="3">
        <f t="shared" si="12"/>
        <v>88.951273518151396</v>
      </c>
      <c r="N64" s="3">
        <f t="shared" si="13"/>
        <v>88.951273518151396</v>
      </c>
    </row>
    <row r="65" spans="4:14" x14ac:dyDescent="0.25">
      <c r="D65" s="30">
        <f>D64+366</f>
        <v>39813</v>
      </c>
      <c r="E65">
        <v>0</v>
      </c>
      <c r="F65">
        <v>0</v>
      </c>
      <c r="G65" s="70">
        <v>80</v>
      </c>
      <c r="H65">
        <f t="shared" si="9"/>
        <v>0</v>
      </c>
      <c r="I65" s="3">
        <v>89.75</v>
      </c>
      <c r="J65">
        <f t="shared" si="10"/>
        <v>0</v>
      </c>
      <c r="K65" s="4">
        <f t="shared" si="11"/>
        <v>0</v>
      </c>
      <c r="L65" s="3">
        <f>(1-K65)*(L64*I65/I64+E65)</f>
        <v>48.570913011490887</v>
      </c>
      <c r="M65" s="3">
        <f t="shared" si="12"/>
        <v>0</v>
      </c>
      <c r="N65" s="3">
        <f t="shared" si="13"/>
        <v>0</v>
      </c>
    </row>
    <row r="66" spans="4:14" x14ac:dyDescent="0.25">
      <c r="D66" s="30">
        <f>D65+365</f>
        <v>40178</v>
      </c>
      <c r="E66">
        <v>0</v>
      </c>
      <c r="F66">
        <v>100</v>
      </c>
      <c r="G66" s="70">
        <v>40</v>
      </c>
      <c r="H66">
        <f t="shared" si="9"/>
        <v>100</v>
      </c>
      <c r="I66" s="3">
        <v>113.5</v>
      </c>
      <c r="J66">
        <f t="shared" si="10"/>
        <v>0</v>
      </c>
      <c r="K66" s="4">
        <f t="shared" si="11"/>
        <v>0.7142857142857143</v>
      </c>
      <c r="L66" s="3">
        <f>(1-K66)*(L65*I66/I65+E66)</f>
        <v>17.549697180435228</v>
      </c>
      <c r="M66" s="3">
        <f t="shared" si="12"/>
        <v>43.874242951088071</v>
      </c>
      <c r="N66" s="3">
        <f t="shared" si="13"/>
        <v>43.874242951088071</v>
      </c>
    </row>
    <row r="67" spans="4:14" x14ac:dyDescent="0.25">
      <c r="D67" s="30">
        <f>D66+365</f>
        <v>40543</v>
      </c>
      <c r="E67">
        <v>0</v>
      </c>
      <c r="F67">
        <v>0</v>
      </c>
      <c r="G67">
        <v>75</v>
      </c>
      <c r="H67">
        <f>-E67+F67+G67</f>
        <v>75</v>
      </c>
      <c r="I67" s="3">
        <v>130.59</v>
      </c>
      <c r="J67">
        <f t="shared" si="10"/>
        <v>0</v>
      </c>
      <c r="K67" s="4">
        <f t="shared" si="11"/>
        <v>0</v>
      </c>
      <c r="L67" s="3">
        <f>(1-K67)*(L66*I67/I66+E67)</f>
        <v>20.192202244872568</v>
      </c>
      <c r="M67" s="3">
        <f t="shared" si="12"/>
        <v>0</v>
      </c>
      <c r="N67" s="3">
        <f>-J67+M67+L67</f>
        <v>20.192202244872568</v>
      </c>
    </row>
    <row r="68" spans="4:14" x14ac:dyDescent="0.25">
      <c r="E68" s="3">
        <f>SUM(E58:E67)</f>
        <v>250</v>
      </c>
      <c r="F68" s="3">
        <f>SUM(F58:F67)</f>
        <v>425</v>
      </c>
      <c r="K68" s="4"/>
    </row>
    <row r="69" spans="4:14" x14ac:dyDescent="0.25">
      <c r="M69" t="s">
        <v>39</v>
      </c>
      <c r="N69" s="1">
        <f>IRR(N58:N67)</f>
        <v>4.6366074993732909E-2</v>
      </c>
    </row>
    <row r="72" spans="4:14" x14ac:dyDescent="0.25">
      <c r="D72" t="s">
        <v>23</v>
      </c>
    </row>
    <row r="73" spans="4:14" x14ac:dyDescent="0.25">
      <c r="E73" s="5" t="s">
        <v>18</v>
      </c>
      <c r="F73" s="5" t="s">
        <v>19</v>
      </c>
      <c r="G73" t="s">
        <v>3</v>
      </c>
      <c r="H73" t="s">
        <v>0</v>
      </c>
      <c r="I73" t="s">
        <v>22</v>
      </c>
      <c r="J73" t="s">
        <v>20</v>
      </c>
      <c r="K73" t="s">
        <v>21</v>
      </c>
      <c r="L73" t="s">
        <v>23</v>
      </c>
    </row>
    <row r="74" spans="4:14" x14ac:dyDescent="0.25">
      <c r="D74" s="30">
        <f>DATE(2001,12,31)</f>
        <v>37256</v>
      </c>
      <c r="E74">
        <v>100</v>
      </c>
      <c r="F74">
        <v>0</v>
      </c>
      <c r="H74" s="3">
        <v>100</v>
      </c>
      <c r="I74" s="4">
        <f>$H$83/H74</f>
        <v>1.3059000000000001</v>
      </c>
      <c r="J74" s="3">
        <f>E74*I74</f>
        <v>130.59</v>
      </c>
      <c r="K74" s="3">
        <f>F74*I74</f>
        <v>0</v>
      </c>
    </row>
    <row r="75" spans="4:14" x14ac:dyDescent="0.25">
      <c r="D75" s="30">
        <f>DATE(2002,12,31)</f>
        <v>37621</v>
      </c>
      <c r="E75">
        <v>0</v>
      </c>
      <c r="F75">
        <v>0</v>
      </c>
      <c r="H75" s="3">
        <v>77.900000000000006</v>
      </c>
      <c r="I75" s="4">
        <f>$H$83/H75</f>
        <v>1.676379974326059</v>
      </c>
      <c r="J75" s="3">
        <f t="shared" ref="J75:J83" si="14">E75*I75</f>
        <v>0</v>
      </c>
      <c r="K75" s="3">
        <f t="shared" ref="K75:K83" si="15">F75*I75</f>
        <v>0</v>
      </c>
    </row>
    <row r="76" spans="4:14" x14ac:dyDescent="0.25">
      <c r="D76" s="30">
        <f>DATE(2003,12,31)</f>
        <v>37986</v>
      </c>
      <c r="E76">
        <v>100</v>
      </c>
      <c r="F76">
        <v>25</v>
      </c>
      <c r="H76" s="3">
        <v>100.24</v>
      </c>
      <c r="I76" s="4">
        <f>$H$83/H76</f>
        <v>1.3027733439744613</v>
      </c>
      <c r="J76" s="3">
        <f t="shared" si="14"/>
        <v>130.27733439744614</v>
      </c>
      <c r="K76" s="3">
        <f t="shared" si="15"/>
        <v>32.569333599361535</v>
      </c>
    </row>
    <row r="77" spans="4:14" x14ac:dyDescent="0.25">
      <c r="D77" s="30">
        <f>DATE(2004,12,31)</f>
        <v>38352</v>
      </c>
      <c r="E77">
        <v>0</v>
      </c>
      <c r="F77">
        <v>0</v>
      </c>
      <c r="H77" s="3">
        <v>111.15</v>
      </c>
      <c r="I77" s="4">
        <f>$H$83/H77</f>
        <v>1.1748987854251012</v>
      </c>
      <c r="J77" s="3">
        <f t="shared" si="14"/>
        <v>0</v>
      </c>
      <c r="K77" s="3">
        <f t="shared" si="15"/>
        <v>0</v>
      </c>
    </row>
    <row r="78" spans="4:14" x14ac:dyDescent="0.25">
      <c r="D78" s="30">
        <f>D77+365</f>
        <v>38717</v>
      </c>
      <c r="E78">
        <v>50</v>
      </c>
      <c r="F78">
        <v>150</v>
      </c>
      <c r="H78" s="3">
        <v>116.61</v>
      </c>
      <c r="I78" s="4">
        <f>$H$83/H78</f>
        <v>1.1198868021610497</v>
      </c>
      <c r="J78" s="3">
        <f t="shared" si="14"/>
        <v>55.994340108052484</v>
      </c>
      <c r="K78" s="3">
        <f t="shared" si="15"/>
        <v>167.98302032415745</v>
      </c>
    </row>
    <row r="79" spans="4:14" x14ac:dyDescent="0.25">
      <c r="D79" s="30">
        <f>D78+365</f>
        <v>39082</v>
      </c>
      <c r="E79">
        <v>0</v>
      </c>
      <c r="F79">
        <v>0</v>
      </c>
      <c r="H79" s="3">
        <v>135.03</v>
      </c>
      <c r="I79" s="4">
        <f>$H$83/H79</f>
        <v>0.96711841812930466</v>
      </c>
      <c r="J79" s="3">
        <f t="shared" si="14"/>
        <v>0</v>
      </c>
      <c r="K79" s="3">
        <f t="shared" si="15"/>
        <v>0</v>
      </c>
    </row>
    <row r="80" spans="4:14" x14ac:dyDescent="0.25">
      <c r="D80" s="30">
        <f>D79+365</f>
        <v>39447</v>
      </c>
      <c r="E80">
        <v>0</v>
      </c>
      <c r="F80">
        <v>150</v>
      </c>
      <c r="H80" s="3">
        <v>142.44999999999999</v>
      </c>
      <c r="I80" s="4">
        <f>$H$83/H80</f>
        <v>0.91674271674271679</v>
      </c>
      <c r="J80" s="3">
        <f t="shared" si="14"/>
        <v>0</v>
      </c>
      <c r="K80" s="3">
        <f t="shared" si="15"/>
        <v>137.51140751140753</v>
      </c>
    </row>
    <row r="81" spans="4:14" x14ac:dyDescent="0.25">
      <c r="D81" s="30">
        <f>D80+366</f>
        <v>39813</v>
      </c>
      <c r="E81">
        <v>0</v>
      </c>
      <c r="F81">
        <v>0</v>
      </c>
      <c r="H81" s="3">
        <v>89.75</v>
      </c>
      <c r="I81" s="4">
        <f>$H$83/H81</f>
        <v>1.455041782729805</v>
      </c>
      <c r="J81" s="3">
        <f t="shared" si="14"/>
        <v>0</v>
      </c>
      <c r="K81" s="3">
        <f t="shared" si="15"/>
        <v>0</v>
      </c>
    </row>
    <row r="82" spans="4:14" x14ac:dyDescent="0.25">
      <c r="D82" s="30">
        <f>D81+365</f>
        <v>40178</v>
      </c>
      <c r="E82">
        <v>0</v>
      </c>
      <c r="F82">
        <v>100</v>
      </c>
      <c r="H82" s="3">
        <v>113.5</v>
      </c>
      <c r="I82" s="4">
        <f>$H$83/H82</f>
        <v>1.1505726872246695</v>
      </c>
      <c r="J82" s="3">
        <f t="shared" si="14"/>
        <v>0</v>
      </c>
      <c r="K82" s="3">
        <f t="shared" si="15"/>
        <v>115.05726872246696</v>
      </c>
    </row>
    <row r="83" spans="4:14" x14ac:dyDescent="0.25">
      <c r="D83" s="30">
        <f>D82+365</f>
        <v>40543</v>
      </c>
      <c r="E83">
        <v>0</v>
      </c>
      <c r="F83">
        <v>0</v>
      </c>
      <c r="G83">
        <v>75</v>
      </c>
      <c r="H83" s="3">
        <v>130.59</v>
      </c>
      <c r="I83" s="4">
        <f>$H$83/H83</f>
        <v>1</v>
      </c>
      <c r="J83" s="3">
        <f t="shared" si="14"/>
        <v>0</v>
      </c>
      <c r="K83" s="3">
        <f t="shared" si="15"/>
        <v>0</v>
      </c>
    </row>
    <row r="84" spans="4:14" x14ac:dyDescent="0.25">
      <c r="D84" s="30"/>
      <c r="J84" s="3">
        <f>SUM(J74:J83)</f>
        <v>316.86167450549863</v>
      </c>
      <c r="K84" s="3">
        <f>SUM(K74:K83)</f>
        <v>453.12103015739348</v>
      </c>
      <c r="L84" s="4">
        <f>(K84+G83)/J84</f>
        <v>1.6667242290554418</v>
      </c>
    </row>
    <row r="85" spans="4:14" x14ac:dyDescent="0.25">
      <c r="D85" s="30"/>
    </row>
    <row r="87" spans="4:14" x14ac:dyDescent="0.25">
      <c r="D87" s="30" t="s">
        <v>7</v>
      </c>
    </row>
    <row r="88" spans="4:14" x14ac:dyDescent="0.25">
      <c r="E88" s="5" t="s">
        <v>18</v>
      </c>
      <c r="F88" s="5" t="s">
        <v>19</v>
      </c>
      <c r="G88" t="s">
        <v>3</v>
      </c>
      <c r="H88" s="32" t="s">
        <v>5</v>
      </c>
      <c r="I88" t="s">
        <v>0</v>
      </c>
      <c r="J88" t="s">
        <v>22</v>
      </c>
      <c r="K88" t="s">
        <v>20</v>
      </c>
      <c r="L88" t="s">
        <v>21</v>
      </c>
      <c r="M88" t="s">
        <v>23</v>
      </c>
      <c r="N88" t="s">
        <v>5</v>
      </c>
    </row>
    <row r="89" spans="4:14" x14ac:dyDescent="0.25">
      <c r="D89" s="30">
        <f>DATE(2001,12,31)</f>
        <v>37256</v>
      </c>
      <c r="E89">
        <v>100</v>
      </c>
      <c r="F89">
        <v>0</v>
      </c>
      <c r="H89" s="32">
        <f>-E89+F89+G89</f>
        <v>-100</v>
      </c>
      <c r="I89" s="3">
        <v>100</v>
      </c>
      <c r="J89" s="4">
        <f>$I$98/I89</f>
        <v>1.3059000000000001</v>
      </c>
      <c r="K89" s="3">
        <f>E89*J89</f>
        <v>130.59</v>
      </c>
      <c r="L89" s="3">
        <f>F89*J89</f>
        <v>0</v>
      </c>
      <c r="N89" s="3">
        <f>H89*J89</f>
        <v>-130.59</v>
      </c>
    </row>
    <row r="90" spans="4:14" x14ac:dyDescent="0.25">
      <c r="D90" s="30">
        <f>DATE(2002,12,31)</f>
        <v>37621</v>
      </c>
      <c r="E90">
        <v>0</v>
      </c>
      <c r="F90">
        <v>0</v>
      </c>
      <c r="H90" s="32">
        <f>-E90+F90+G90</f>
        <v>0</v>
      </c>
      <c r="I90" s="3">
        <v>77.900000000000006</v>
      </c>
      <c r="J90" s="4">
        <f>$I$98/I90</f>
        <v>1.676379974326059</v>
      </c>
      <c r="K90" s="3">
        <f>E90*J90</f>
        <v>0</v>
      </c>
      <c r="L90" s="3">
        <f>F90*J90</f>
        <v>0</v>
      </c>
      <c r="N90" s="3">
        <f>H90*J90</f>
        <v>0</v>
      </c>
    </row>
    <row r="91" spans="4:14" x14ac:dyDescent="0.25">
      <c r="D91" s="30">
        <f>DATE(2003,12,31)</f>
        <v>37986</v>
      </c>
      <c r="E91">
        <v>100</v>
      </c>
      <c r="F91">
        <v>25</v>
      </c>
      <c r="H91" s="32">
        <f>-E91+F91+G91</f>
        <v>-75</v>
      </c>
      <c r="I91" s="3">
        <v>100.24</v>
      </c>
      <c r="J91" s="4">
        <f>$I$98/I91</f>
        <v>1.3027733439744613</v>
      </c>
      <c r="K91" s="3">
        <f>E91*J91</f>
        <v>130.27733439744614</v>
      </c>
      <c r="L91" s="3">
        <f>F91*J91</f>
        <v>32.569333599361535</v>
      </c>
      <c r="N91" s="3">
        <f>H91*J91</f>
        <v>-97.708000798084598</v>
      </c>
    </row>
    <row r="92" spans="4:14" x14ac:dyDescent="0.25">
      <c r="D92" s="30">
        <f>DATE(2004,12,31)</f>
        <v>38352</v>
      </c>
      <c r="E92">
        <v>0</v>
      </c>
      <c r="F92">
        <v>0</v>
      </c>
      <c r="H92" s="32">
        <f>-E92+F92+G92</f>
        <v>0</v>
      </c>
      <c r="I92" s="3">
        <v>111.15</v>
      </c>
      <c r="J92" s="4">
        <f>$I$98/I92</f>
        <v>1.1748987854251012</v>
      </c>
      <c r="K92" s="3">
        <f>E92*J92</f>
        <v>0</v>
      </c>
      <c r="L92" s="3">
        <f>F92*J92</f>
        <v>0</v>
      </c>
      <c r="N92" s="3">
        <f>H92*J92</f>
        <v>0</v>
      </c>
    </row>
    <row r="93" spans="4:14" x14ac:dyDescent="0.25">
      <c r="D93" s="30">
        <f>D92+365</f>
        <v>38717</v>
      </c>
      <c r="E93">
        <v>50</v>
      </c>
      <c r="F93">
        <v>150</v>
      </c>
      <c r="H93" s="32">
        <f>-E93+F93+G93</f>
        <v>100</v>
      </c>
      <c r="I93" s="3">
        <v>116.61</v>
      </c>
      <c r="J93" s="4">
        <f>$I$98/I93</f>
        <v>1.1198868021610497</v>
      </c>
      <c r="K93" s="3">
        <f>E93*J93</f>
        <v>55.994340108052484</v>
      </c>
      <c r="L93" s="3">
        <f>F93*J93</f>
        <v>167.98302032415745</v>
      </c>
      <c r="N93" s="3">
        <f>H93*J93</f>
        <v>111.98868021610497</v>
      </c>
    </row>
    <row r="94" spans="4:14" x14ac:dyDescent="0.25">
      <c r="D94" s="30">
        <f>D93+365</f>
        <v>39082</v>
      </c>
      <c r="E94">
        <v>0</v>
      </c>
      <c r="F94">
        <v>0</v>
      </c>
      <c r="H94" s="32">
        <f>-E94+F94+G94</f>
        <v>0</v>
      </c>
      <c r="I94" s="3">
        <v>135.03</v>
      </c>
      <c r="J94" s="4">
        <f>$I$98/I94</f>
        <v>0.96711841812930466</v>
      </c>
      <c r="K94" s="3">
        <f>E94*J94</f>
        <v>0</v>
      </c>
      <c r="L94" s="3">
        <f>F94*J94</f>
        <v>0</v>
      </c>
      <c r="N94" s="3">
        <f>H94*J94</f>
        <v>0</v>
      </c>
    </row>
    <row r="95" spans="4:14" x14ac:dyDescent="0.25">
      <c r="D95" s="30">
        <f>D94+365</f>
        <v>39447</v>
      </c>
      <c r="E95">
        <v>0</v>
      </c>
      <c r="F95">
        <v>150</v>
      </c>
      <c r="H95" s="32">
        <f>-E95+F95+G95</f>
        <v>150</v>
      </c>
      <c r="I95" s="3">
        <v>142.44999999999999</v>
      </c>
      <c r="J95" s="4">
        <f>$I$98/I95</f>
        <v>0.91674271674271679</v>
      </c>
      <c r="K95" s="3">
        <f>E95*J95</f>
        <v>0</v>
      </c>
      <c r="L95" s="3">
        <f>F95*J95</f>
        <v>137.51140751140753</v>
      </c>
      <c r="N95" s="3">
        <f>H95*J95</f>
        <v>137.51140751140753</v>
      </c>
    </row>
    <row r="96" spans="4:14" x14ac:dyDescent="0.25">
      <c r="D96" s="30">
        <f>D95+366</f>
        <v>39813</v>
      </c>
      <c r="E96">
        <v>0</v>
      </c>
      <c r="F96">
        <v>0</v>
      </c>
      <c r="H96" s="32">
        <f>-E96+F96+G96</f>
        <v>0</v>
      </c>
      <c r="I96" s="3">
        <v>89.75</v>
      </c>
      <c r="J96" s="4">
        <f>$I$98/I96</f>
        <v>1.455041782729805</v>
      </c>
      <c r="K96" s="3">
        <f>E96*J96</f>
        <v>0</v>
      </c>
      <c r="L96" s="3">
        <f>F96*J96</f>
        <v>0</v>
      </c>
      <c r="N96" s="3">
        <f>H96*J96</f>
        <v>0</v>
      </c>
    </row>
    <row r="97" spans="4:14" x14ac:dyDescent="0.25">
      <c r="D97" s="30">
        <f>D96+365</f>
        <v>40178</v>
      </c>
      <c r="E97">
        <v>0</v>
      </c>
      <c r="F97">
        <v>100</v>
      </c>
      <c r="H97" s="32">
        <f>-E97+F97+G97</f>
        <v>100</v>
      </c>
      <c r="I97" s="3">
        <v>113.5</v>
      </c>
      <c r="J97" s="4">
        <f>$I$98/I97</f>
        <v>1.1505726872246695</v>
      </c>
      <c r="K97" s="3">
        <f>E97*J97</f>
        <v>0</v>
      </c>
      <c r="L97" s="3">
        <f>F97*J97</f>
        <v>115.05726872246696</v>
      </c>
      <c r="N97" s="3">
        <f>H97*J97</f>
        <v>115.05726872246696</v>
      </c>
    </row>
    <row r="98" spans="4:14" x14ac:dyDescent="0.25">
      <c r="D98" s="30">
        <f>D97+365</f>
        <v>40543</v>
      </c>
      <c r="E98">
        <v>0</v>
      </c>
      <c r="F98">
        <v>0</v>
      </c>
      <c r="G98">
        <v>75</v>
      </c>
      <c r="H98" s="32">
        <f>-E98+F98+G98</f>
        <v>75</v>
      </c>
      <c r="I98" s="3">
        <v>130.59</v>
      </c>
      <c r="J98" s="4">
        <f>$I$98/I98</f>
        <v>1</v>
      </c>
      <c r="K98" s="3">
        <f>E98*J98</f>
        <v>0</v>
      </c>
      <c r="L98" s="3">
        <f>F98*J98</f>
        <v>0</v>
      </c>
      <c r="N98" s="3">
        <f>H98*J98</f>
        <v>75</v>
      </c>
    </row>
    <row r="99" spans="4:14" x14ac:dyDescent="0.25">
      <c r="D99" s="30"/>
      <c r="K99" s="3">
        <f>SUM(K89:K98)</f>
        <v>316.86167450549863</v>
      </c>
      <c r="L99" s="3">
        <f>SUM(L89:L98)</f>
        <v>453.12103015739348</v>
      </c>
      <c r="M99" s="4">
        <f>(L99+G98)/K99</f>
        <v>1.6667242290554418</v>
      </c>
    </row>
    <row r="100" spans="4:14" x14ac:dyDescent="0.25">
      <c r="D100" s="30"/>
      <c r="G100" t="s">
        <v>24</v>
      </c>
      <c r="H100" s="1">
        <f>IRR(H88:H98)</f>
        <v>0.1753276479471777</v>
      </c>
      <c r="M100" t="s">
        <v>7</v>
      </c>
      <c r="N100" s="1">
        <f>IRR(N89:N98)</f>
        <v>0.12578112239433636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3"/>
  <sheetViews>
    <sheetView topLeftCell="A34" workbookViewId="0">
      <selection activeCell="K74" sqref="K74"/>
    </sheetView>
  </sheetViews>
  <sheetFormatPr defaultRowHeight="15" x14ac:dyDescent="0.25"/>
  <cols>
    <col min="6" max="6" width="12" customWidth="1"/>
    <col min="7" max="7" width="13.28515625" customWidth="1"/>
    <col min="8" max="8" width="1.28515625" customWidth="1"/>
    <col min="10" max="10" width="1.28515625" customWidth="1"/>
    <col min="11" max="11" width="10.28515625" bestFit="1" customWidth="1"/>
    <col min="12" max="12" width="13.42578125" customWidth="1"/>
    <col min="13" max="13" width="32.7109375" customWidth="1"/>
    <col min="17" max="17" width="10.42578125" customWidth="1"/>
  </cols>
  <sheetData>
    <row r="1" spans="2:13" x14ac:dyDescent="0.25">
      <c r="B1" t="s">
        <v>68</v>
      </c>
    </row>
    <row r="5" spans="2:13" s="35" customFormat="1" ht="30" x14ac:dyDescent="0.25">
      <c r="C5" s="83"/>
      <c r="D5" s="83" t="s">
        <v>18</v>
      </c>
      <c r="E5" s="83" t="s">
        <v>19</v>
      </c>
      <c r="F5" s="83" t="s">
        <v>35</v>
      </c>
      <c r="G5" s="84" t="s">
        <v>78</v>
      </c>
      <c r="H5" s="83"/>
      <c r="I5" s="83" t="s">
        <v>0</v>
      </c>
      <c r="J5" s="85"/>
      <c r="K5" s="85" t="s">
        <v>69</v>
      </c>
      <c r="L5" s="81"/>
    </row>
    <row r="6" spans="2:13" x14ac:dyDescent="0.25">
      <c r="C6" s="5">
        <v>0</v>
      </c>
      <c r="D6" s="5">
        <v>-25</v>
      </c>
      <c r="E6" s="5">
        <v>0</v>
      </c>
      <c r="F6" s="5"/>
      <c r="G6" s="5">
        <f>SUM(D6:F6)</f>
        <v>-25</v>
      </c>
      <c r="H6" s="5"/>
      <c r="I6" s="5">
        <v>100</v>
      </c>
      <c r="K6" s="31">
        <f>-D6</f>
        <v>25</v>
      </c>
      <c r="L6" t="str">
        <f ca="1">_xlfn.FORMULATEXT(K6)</f>
        <v>=-D6</v>
      </c>
    </row>
    <row r="7" spans="2:13" x14ac:dyDescent="0.25">
      <c r="C7" s="5">
        <v>1</v>
      </c>
      <c r="D7" s="5">
        <v>0</v>
      </c>
      <c r="E7" s="5">
        <v>15</v>
      </c>
      <c r="F7" s="5"/>
      <c r="G7" s="5">
        <f>SUM(D7:F7)</f>
        <v>15</v>
      </c>
      <c r="H7" s="5"/>
      <c r="I7" s="5">
        <v>115</v>
      </c>
      <c r="K7" s="31">
        <f>K6*I7/I6-E7</f>
        <v>13.75</v>
      </c>
      <c r="L7" t="s">
        <v>155</v>
      </c>
    </row>
    <row r="8" spans="2:13" ht="15.75" thickBot="1" x14ac:dyDescent="0.3">
      <c r="C8" s="11">
        <v>2</v>
      </c>
      <c r="D8" s="11">
        <v>0</v>
      </c>
      <c r="E8" s="11">
        <v>0</v>
      </c>
      <c r="F8" s="9">
        <v>20</v>
      </c>
      <c r="G8" s="9">
        <f>SUM(D8:F8)</f>
        <v>20</v>
      </c>
      <c r="H8" s="11"/>
      <c r="I8" s="11">
        <v>130</v>
      </c>
      <c r="J8" s="12"/>
      <c r="K8" s="82">
        <f>K7*I8/I7</f>
        <v>15.543478260869565</v>
      </c>
      <c r="L8" s="12" t="s">
        <v>154</v>
      </c>
    </row>
    <row r="9" spans="2:13" ht="15.75" thickBot="1" x14ac:dyDescent="0.3">
      <c r="C9" s="5"/>
      <c r="D9" s="5"/>
      <c r="E9" s="5"/>
      <c r="F9" s="86" t="s">
        <v>24</v>
      </c>
      <c r="G9" s="87">
        <f>IRR(G6:G8)</f>
        <v>0.2433981132056604</v>
      </c>
      <c r="H9" s="5"/>
      <c r="I9" s="5"/>
    </row>
    <row r="11" spans="2:13" ht="30" x14ac:dyDescent="0.25">
      <c r="C11" s="83" t="s">
        <v>70</v>
      </c>
      <c r="D11" s="83" t="s">
        <v>18</v>
      </c>
      <c r="E11" s="83" t="s">
        <v>19</v>
      </c>
      <c r="F11" s="83" t="s">
        <v>69</v>
      </c>
      <c r="G11" s="84" t="s">
        <v>75</v>
      </c>
    </row>
    <row r="12" spans="2:13" x14ac:dyDescent="0.25">
      <c r="C12" s="5">
        <v>0</v>
      </c>
      <c r="D12" s="5">
        <v>-25</v>
      </c>
      <c r="E12" s="5">
        <v>0</v>
      </c>
      <c r="F12" s="5"/>
      <c r="G12" s="5">
        <f>SUM(D12:F12)</f>
        <v>-25</v>
      </c>
    </row>
    <row r="13" spans="2:13" x14ac:dyDescent="0.25">
      <c r="C13" s="5">
        <v>1</v>
      </c>
      <c r="D13" s="5">
        <v>0</v>
      </c>
      <c r="E13" s="5">
        <v>15</v>
      </c>
      <c r="F13" s="5"/>
      <c r="G13" s="5">
        <f>SUM(D13:F13)</f>
        <v>15</v>
      </c>
    </row>
    <row r="14" spans="2:13" ht="15.75" thickBot="1" x14ac:dyDescent="0.3">
      <c r="C14" s="11">
        <v>2</v>
      </c>
      <c r="D14" s="11">
        <v>0</v>
      </c>
      <c r="E14" s="11">
        <v>0</v>
      </c>
      <c r="F14" s="88">
        <f>K8</f>
        <v>15.543478260869565</v>
      </c>
      <c r="G14" s="68">
        <f>SUM(D14:F14)</f>
        <v>15.543478260869565</v>
      </c>
      <c r="M14" t="s">
        <v>71</v>
      </c>
    </row>
    <row r="15" spans="2:13" ht="15.75" thickBot="1" x14ac:dyDescent="0.3">
      <c r="C15" s="5"/>
      <c r="D15" s="5"/>
      <c r="E15" s="5"/>
      <c r="F15" s="86" t="s">
        <v>24</v>
      </c>
      <c r="G15" s="87">
        <f>IRR(G12:G14)</f>
        <v>0.14364633018509498</v>
      </c>
    </row>
    <row r="17" spans="3:13" s="91" customFormat="1" x14ac:dyDescent="0.25"/>
    <row r="19" spans="3:13" ht="30" x14ac:dyDescent="0.25">
      <c r="C19" s="83"/>
      <c r="D19" s="83" t="s">
        <v>18</v>
      </c>
      <c r="E19" s="83" t="s">
        <v>19</v>
      </c>
      <c r="F19" s="83" t="s">
        <v>35</v>
      </c>
      <c r="G19" s="84" t="s">
        <v>78</v>
      </c>
      <c r="H19" s="83"/>
      <c r="I19" s="83" t="s">
        <v>0</v>
      </c>
      <c r="J19" s="85"/>
      <c r="K19" s="83" t="s">
        <v>69</v>
      </c>
      <c r="L19" s="81"/>
    </row>
    <row r="20" spans="3:13" x14ac:dyDescent="0.25">
      <c r="C20" s="5">
        <v>0</v>
      </c>
      <c r="D20" s="5">
        <v>-25</v>
      </c>
      <c r="E20" s="5">
        <v>0</v>
      </c>
      <c r="F20" s="5"/>
      <c r="G20" s="5">
        <f>SUM(D20:F20)</f>
        <v>-25</v>
      </c>
      <c r="H20" s="5"/>
      <c r="I20" s="5">
        <v>100</v>
      </c>
      <c r="K20" s="31">
        <f>-D20</f>
        <v>25</v>
      </c>
      <c r="L20" t="str">
        <f ca="1">_xlfn.FORMULATEXT(K20)</f>
        <v>=-D20</v>
      </c>
    </row>
    <row r="21" spans="3:13" x14ac:dyDescent="0.25">
      <c r="C21" s="5">
        <v>1</v>
      </c>
      <c r="D21" s="5">
        <v>0</v>
      </c>
      <c r="E21" s="5">
        <v>15</v>
      </c>
      <c r="F21" s="5"/>
      <c r="G21" s="5">
        <f>SUM(D21:F21)</f>
        <v>15</v>
      </c>
      <c r="H21" s="5"/>
      <c r="I21" s="5">
        <v>115</v>
      </c>
      <c r="K21" s="31">
        <f>K20*I21/I20-E21*G24</f>
        <v>17.692307692307693</v>
      </c>
      <c r="L21" t="s">
        <v>156</v>
      </c>
    </row>
    <row r="22" spans="3:13" ht="15.75" thickBot="1" x14ac:dyDescent="0.3">
      <c r="C22" s="11">
        <v>2</v>
      </c>
      <c r="D22" s="11">
        <v>0</v>
      </c>
      <c r="E22" s="11">
        <v>0</v>
      </c>
      <c r="F22" s="9">
        <v>20</v>
      </c>
      <c r="G22" s="9">
        <f>SUM(D22:F22)</f>
        <v>20</v>
      </c>
      <c r="H22" s="11"/>
      <c r="I22" s="11">
        <v>130</v>
      </c>
      <c r="J22" s="12"/>
      <c r="K22" s="82">
        <f>K21*I22/I21</f>
        <v>20</v>
      </c>
      <c r="L22" s="12" t="s">
        <v>157</v>
      </c>
    </row>
    <row r="23" spans="3:13" ht="15.75" thickBot="1" x14ac:dyDescent="0.3">
      <c r="F23" s="86" t="s">
        <v>24</v>
      </c>
      <c r="G23" s="87">
        <f>IRR(G20:G22)</f>
        <v>0.2433981132056604</v>
      </c>
    </row>
    <row r="24" spans="3:13" ht="17.25" thickBot="1" x14ac:dyDescent="0.35">
      <c r="F24" s="86" t="s">
        <v>72</v>
      </c>
      <c r="G24" s="89">
        <f>(-D20*I22/I20-F22)/(E21*I22/I21)</f>
        <v>0.73717948717948723</v>
      </c>
    </row>
    <row r="26" spans="3:13" ht="30" x14ac:dyDescent="0.25">
      <c r="C26" s="83" t="s">
        <v>4</v>
      </c>
      <c r="D26" s="83" t="s">
        <v>18</v>
      </c>
      <c r="E26" s="83" t="s">
        <v>74</v>
      </c>
      <c r="F26" s="83" t="s">
        <v>69</v>
      </c>
      <c r="G26" s="84" t="s">
        <v>75</v>
      </c>
    </row>
    <row r="27" spans="3:13" x14ac:dyDescent="0.25">
      <c r="C27" s="5">
        <v>0</v>
      </c>
      <c r="D27" s="5">
        <v>-25</v>
      </c>
      <c r="E27" s="5">
        <v>0</v>
      </c>
      <c r="F27" s="5"/>
      <c r="G27" s="5">
        <f>SUM(D27:F27)</f>
        <v>-25</v>
      </c>
      <c r="M27" t="s">
        <v>73</v>
      </c>
    </row>
    <row r="28" spans="3:13" x14ac:dyDescent="0.25">
      <c r="C28" s="5">
        <v>1</v>
      </c>
      <c r="D28" s="5">
        <v>0</v>
      </c>
      <c r="E28" s="80">
        <f>G24*E21</f>
        <v>11.057692307692308</v>
      </c>
      <c r="F28" s="5"/>
      <c r="G28" s="80">
        <f>SUM(D28:F28)</f>
        <v>11.057692307692308</v>
      </c>
      <c r="M28" t="s">
        <v>76</v>
      </c>
    </row>
    <row r="29" spans="3:13" ht="15.75" thickBot="1" x14ac:dyDescent="0.3">
      <c r="C29" s="11">
        <v>2</v>
      </c>
      <c r="D29" s="11">
        <v>0</v>
      </c>
      <c r="E29" s="11">
        <v>0</v>
      </c>
      <c r="F29" s="88">
        <f>K22</f>
        <v>20</v>
      </c>
      <c r="G29" s="68">
        <f>SUM(D29:F29)</f>
        <v>20</v>
      </c>
    </row>
    <row r="30" spans="3:13" ht="15.75" thickBot="1" x14ac:dyDescent="0.3">
      <c r="C30" s="5"/>
      <c r="D30" s="5"/>
      <c r="E30" s="5"/>
      <c r="F30" s="86" t="s">
        <v>24</v>
      </c>
      <c r="G30" s="87">
        <f>IRR(G27:G29)</f>
        <v>0.14251643692288041</v>
      </c>
    </row>
    <row r="33" spans="3:17" s="91" customFormat="1" x14ac:dyDescent="0.25"/>
    <row r="35" spans="3:17" ht="30" x14ac:dyDescent="0.25">
      <c r="C35" s="83"/>
      <c r="D35" s="83" t="s">
        <v>18</v>
      </c>
      <c r="E35" s="83" t="s">
        <v>19</v>
      </c>
      <c r="F35" s="83" t="s">
        <v>35</v>
      </c>
      <c r="G35" s="84" t="s">
        <v>78</v>
      </c>
      <c r="H35" s="83"/>
      <c r="I35" s="83" t="s">
        <v>0</v>
      </c>
      <c r="J35" s="85"/>
      <c r="K35" s="83" t="s">
        <v>159</v>
      </c>
      <c r="L35" s="83" t="s">
        <v>69</v>
      </c>
      <c r="M35" s="81"/>
    </row>
    <row r="36" spans="3:17" x14ac:dyDescent="0.25">
      <c r="C36" s="5">
        <v>0</v>
      </c>
      <c r="D36" s="5">
        <v>-25</v>
      </c>
      <c r="E36" s="5">
        <v>0</v>
      </c>
      <c r="F36" s="107">
        <v>25</v>
      </c>
      <c r="G36" s="5">
        <f>SUM(D36:E36)</f>
        <v>-25</v>
      </c>
      <c r="H36" s="5"/>
      <c r="I36" s="5">
        <v>100</v>
      </c>
      <c r="K36" s="31">
        <f>E36/SUM(E36:F36)</f>
        <v>0</v>
      </c>
      <c r="L36" s="31">
        <f>-D36</f>
        <v>25</v>
      </c>
      <c r="M36" t="str">
        <f ca="1">_xlfn.FORMULATEXT(L36)</f>
        <v>=-D36</v>
      </c>
      <c r="Q36" t="s">
        <v>158</v>
      </c>
    </row>
    <row r="37" spans="3:17" x14ac:dyDescent="0.25">
      <c r="C37" s="5">
        <v>1</v>
      </c>
      <c r="D37" s="5">
        <v>0</v>
      </c>
      <c r="E37" s="5">
        <v>15</v>
      </c>
      <c r="F37" s="107">
        <v>20</v>
      </c>
      <c r="G37" s="5">
        <f>SUM(D37:E37)</f>
        <v>15</v>
      </c>
      <c r="H37" s="5"/>
      <c r="I37" s="5">
        <v>115</v>
      </c>
      <c r="K37" s="31">
        <f>E37/SUM(E37:F37)</f>
        <v>0.42857142857142855</v>
      </c>
      <c r="L37" s="31">
        <f>(1-K37)*(L36*I37/I36+D37)</f>
        <v>16.428571428571427</v>
      </c>
      <c r="M37" t="s">
        <v>162</v>
      </c>
      <c r="N37">
        <f>(1-K37)*(L36*I37/I36+D37)</f>
        <v>16.428571428571427</v>
      </c>
    </row>
    <row r="38" spans="3:17" ht="15.75" thickBot="1" x14ac:dyDescent="0.3">
      <c r="C38" s="11">
        <v>2</v>
      </c>
      <c r="D38" s="11">
        <v>0</v>
      </c>
      <c r="E38" s="11">
        <v>0</v>
      </c>
      <c r="F38" s="9">
        <v>20</v>
      </c>
      <c r="G38" s="9">
        <f>SUM(D38:F38)</f>
        <v>20</v>
      </c>
      <c r="H38" s="11"/>
      <c r="I38" s="11">
        <v>130</v>
      </c>
      <c r="J38" s="12"/>
      <c r="K38" s="90">
        <f>E38/SUM(E38:F38)</f>
        <v>0</v>
      </c>
      <c r="L38" s="82">
        <f>(1-K38)*(L37*I38/I37+D38)</f>
        <v>18.571428571428569</v>
      </c>
      <c r="M38" s="12" t="s">
        <v>161</v>
      </c>
      <c r="N38">
        <f>(1-K38)*(L37*I38/I37+D38)</f>
        <v>18.571428571428569</v>
      </c>
    </row>
    <row r="39" spans="3:17" ht="15.75" thickBot="1" x14ac:dyDescent="0.3">
      <c r="F39" s="86" t="s">
        <v>24</v>
      </c>
      <c r="G39" s="87">
        <f>IRR(G36:G38)</f>
        <v>0.2433981132056604</v>
      </c>
    </row>
    <row r="41" spans="3:17" ht="30" x14ac:dyDescent="0.25">
      <c r="C41" s="83" t="s">
        <v>6</v>
      </c>
      <c r="D41" s="83" t="s">
        <v>18</v>
      </c>
      <c r="E41" s="83" t="s">
        <v>38</v>
      </c>
      <c r="F41" s="83" t="s">
        <v>69</v>
      </c>
      <c r="G41" s="84" t="s">
        <v>75</v>
      </c>
    </row>
    <row r="42" spans="3:17" x14ac:dyDescent="0.25">
      <c r="C42" s="5">
        <v>0</v>
      </c>
      <c r="D42" s="5">
        <v>-25</v>
      </c>
      <c r="E42" s="5">
        <v>0</v>
      </c>
      <c r="F42" s="5"/>
      <c r="G42" s="5">
        <f>SUM(D42:F42)</f>
        <v>-25</v>
      </c>
    </row>
    <row r="43" spans="3:17" x14ac:dyDescent="0.25">
      <c r="C43" s="5">
        <v>1</v>
      </c>
      <c r="D43" s="5">
        <v>0</v>
      </c>
      <c r="E43" s="80">
        <f>K37*(L36*I37/I36+D43)</f>
        <v>12.321428571428571</v>
      </c>
      <c r="F43" s="5"/>
      <c r="G43" s="80">
        <f>SUM(D43:F43)</f>
        <v>12.321428571428571</v>
      </c>
      <c r="I43" t="s">
        <v>160</v>
      </c>
    </row>
    <row r="44" spans="3:17" ht="15.75" thickBot="1" x14ac:dyDescent="0.3">
      <c r="C44" s="11">
        <v>2</v>
      </c>
      <c r="D44" s="11">
        <v>0</v>
      </c>
      <c r="E44" s="50">
        <f>K38*(L37*I38/I37+D44)</f>
        <v>0</v>
      </c>
      <c r="F44" s="88">
        <f>L38</f>
        <v>18.571428571428569</v>
      </c>
      <c r="G44" s="68">
        <f>SUM(D44:F44)</f>
        <v>18.571428571428569</v>
      </c>
    </row>
    <row r="45" spans="3:17" ht="15.75" thickBot="1" x14ac:dyDescent="0.3">
      <c r="C45" s="5"/>
      <c r="D45" s="5"/>
      <c r="E45" s="5"/>
      <c r="F45" s="86" t="s">
        <v>24</v>
      </c>
      <c r="G45" s="87">
        <f>IRR(G42:G44)</f>
        <v>0.14285714285713769</v>
      </c>
    </row>
    <row r="47" spans="3:17" s="91" customFormat="1" x14ac:dyDescent="0.25"/>
    <row r="49" spans="3:17" ht="30" x14ac:dyDescent="0.25">
      <c r="C49" s="83"/>
      <c r="D49" s="83" t="s">
        <v>18</v>
      </c>
      <c r="E49" s="83" t="s">
        <v>19</v>
      </c>
      <c r="F49" s="83" t="s">
        <v>35</v>
      </c>
      <c r="G49" s="84" t="s">
        <v>78</v>
      </c>
      <c r="H49" s="83"/>
      <c r="I49" s="83" t="s">
        <v>0</v>
      </c>
      <c r="J49" s="85"/>
      <c r="L49" s="38" t="s">
        <v>80</v>
      </c>
    </row>
    <row r="50" spans="3:17" x14ac:dyDescent="0.25">
      <c r="C50" s="5">
        <v>0</v>
      </c>
      <c r="D50" s="5">
        <v>-25</v>
      </c>
      <c r="E50" s="5">
        <v>0</v>
      </c>
      <c r="F50" s="5"/>
      <c r="G50" s="5">
        <f>SUM(D50:E50)</f>
        <v>-25</v>
      </c>
      <c r="H50" s="5"/>
      <c r="I50" s="5">
        <v>100</v>
      </c>
    </row>
    <row r="51" spans="3:17" x14ac:dyDescent="0.25">
      <c r="C51" s="5">
        <v>1</v>
      </c>
      <c r="D51" s="5">
        <v>0</v>
      </c>
      <c r="E51" s="5">
        <v>15</v>
      </c>
      <c r="F51" s="5"/>
      <c r="G51" s="5">
        <f>SUM(D51:E51)</f>
        <v>15</v>
      </c>
      <c r="H51" s="5"/>
      <c r="I51" s="5">
        <v>115</v>
      </c>
    </row>
    <row r="52" spans="3:17" ht="15.75" thickBot="1" x14ac:dyDescent="0.3">
      <c r="C52" s="11">
        <v>2</v>
      </c>
      <c r="D52" s="11">
        <v>0</v>
      </c>
      <c r="E52" s="11">
        <v>0</v>
      </c>
      <c r="F52" s="9">
        <v>20</v>
      </c>
      <c r="G52" s="9">
        <f>SUM(D52:F52)</f>
        <v>20</v>
      </c>
      <c r="H52" s="11"/>
      <c r="I52" s="11">
        <v>130</v>
      </c>
      <c r="J52" s="12"/>
    </row>
    <row r="53" spans="3:17" ht="15.75" thickBot="1" x14ac:dyDescent="0.3">
      <c r="F53" s="86" t="s">
        <v>25</v>
      </c>
      <c r="G53" s="89">
        <f>SUM(G51:G52)/SUM(-G50)</f>
        <v>1.4</v>
      </c>
    </row>
    <row r="55" spans="3:17" ht="30" x14ac:dyDescent="0.25">
      <c r="C55" s="83" t="s">
        <v>23</v>
      </c>
      <c r="D55" s="83" t="s">
        <v>20</v>
      </c>
      <c r="E55" s="83" t="s">
        <v>77</v>
      </c>
      <c r="F55" s="83" t="s">
        <v>35</v>
      </c>
      <c r="G55" s="84" t="s">
        <v>78</v>
      </c>
      <c r="N55" s="83" t="s">
        <v>164</v>
      </c>
      <c r="O55" s="83" t="s">
        <v>165</v>
      </c>
      <c r="P55" s="83" t="s">
        <v>35</v>
      </c>
      <c r="Q55" s="84" t="s">
        <v>78</v>
      </c>
    </row>
    <row r="56" spans="3:17" x14ac:dyDescent="0.25">
      <c r="C56" s="5">
        <v>0</v>
      </c>
      <c r="D56" s="5">
        <f>D50*I52/I50</f>
        <v>-32.5</v>
      </c>
      <c r="E56" s="5">
        <v>0</v>
      </c>
      <c r="F56" s="5"/>
      <c r="G56" s="5">
        <f>SUM(D56:F56)</f>
        <v>-32.5</v>
      </c>
      <c r="N56">
        <f>D50</f>
        <v>-25</v>
      </c>
      <c r="Q56">
        <f>N56</f>
        <v>-25</v>
      </c>
    </row>
    <row r="57" spans="3:17" x14ac:dyDescent="0.25">
      <c r="C57" s="5">
        <v>1</v>
      </c>
      <c r="D57" s="5">
        <v>0</v>
      </c>
      <c r="E57" s="80">
        <f>E51*I52/I51</f>
        <v>16.956521739130434</v>
      </c>
      <c r="F57" s="5"/>
      <c r="G57" s="80">
        <f>SUM(D57:F57)</f>
        <v>16.956521739130434</v>
      </c>
      <c r="O57">
        <f>E51*I50/I51</f>
        <v>13.043478260869565</v>
      </c>
      <c r="Q57">
        <f>O57</f>
        <v>13.043478260869565</v>
      </c>
    </row>
    <row r="58" spans="3:17" ht="15.75" thickBot="1" x14ac:dyDescent="0.3">
      <c r="C58" s="11">
        <v>2</v>
      </c>
      <c r="D58" s="11">
        <v>0</v>
      </c>
      <c r="E58" s="11">
        <v>0</v>
      </c>
      <c r="F58" s="11">
        <f>F52</f>
        <v>20</v>
      </c>
      <c r="G58" s="68">
        <f>SUM(D58:F58)</f>
        <v>20</v>
      </c>
      <c r="P58">
        <f>F58*I50/I52</f>
        <v>15.384615384615385</v>
      </c>
      <c r="Q58">
        <f>P58</f>
        <v>15.384615384615385</v>
      </c>
    </row>
    <row r="59" spans="3:17" ht="15.75" thickBot="1" x14ac:dyDescent="0.3">
      <c r="C59" s="5"/>
      <c r="D59" s="5"/>
      <c r="E59" s="5"/>
      <c r="F59" s="86" t="s">
        <v>79</v>
      </c>
      <c r="G59" s="92">
        <f>SUM(G57:G58)/SUM(-G56)</f>
        <v>1.1371237458193981</v>
      </c>
      <c r="P59" s="86" t="s">
        <v>79</v>
      </c>
      <c r="Q59" s="92">
        <f>SUM(Q57:Q58)/SUM(-Q56)</f>
        <v>1.1371237458193979</v>
      </c>
    </row>
    <row r="61" spans="3:17" s="91" customFormat="1" x14ac:dyDescent="0.25"/>
    <row r="63" spans="3:17" ht="30" x14ac:dyDescent="0.25">
      <c r="C63" s="83"/>
      <c r="D63" s="83" t="s">
        <v>18</v>
      </c>
      <c r="E63" s="83" t="s">
        <v>19</v>
      </c>
      <c r="F63" s="83" t="s">
        <v>35</v>
      </c>
      <c r="G63" s="84" t="s">
        <v>78</v>
      </c>
      <c r="H63" s="83"/>
      <c r="I63" s="83" t="s">
        <v>0</v>
      </c>
    </row>
    <row r="64" spans="3:17" x14ac:dyDescent="0.25">
      <c r="C64" s="5">
        <v>0</v>
      </c>
      <c r="D64" s="5">
        <v>-25</v>
      </c>
      <c r="E64" s="5">
        <v>0</v>
      </c>
      <c r="F64" s="5"/>
      <c r="G64" s="5">
        <f>SUM(D64:E64)</f>
        <v>-25</v>
      </c>
      <c r="H64" s="5"/>
      <c r="I64" s="5">
        <v>100</v>
      </c>
    </row>
    <row r="65" spans="3:11" x14ac:dyDescent="0.25">
      <c r="C65" s="5">
        <v>1</v>
      </c>
      <c r="D65" s="5">
        <v>0</v>
      </c>
      <c r="E65" s="5">
        <v>15</v>
      </c>
      <c r="F65" s="5"/>
      <c r="G65" s="5">
        <f>SUM(D65:E65)</f>
        <v>15</v>
      </c>
      <c r="H65" s="5"/>
      <c r="I65" s="5">
        <v>115</v>
      </c>
    </row>
    <row r="66" spans="3:11" ht="15.75" thickBot="1" x14ac:dyDescent="0.3">
      <c r="C66" s="11">
        <v>2</v>
      </c>
      <c r="D66" s="11">
        <v>0</v>
      </c>
      <c r="E66" s="11">
        <v>0</v>
      </c>
      <c r="F66" s="9">
        <v>20</v>
      </c>
      <c r="G66" s="9">
        <f>SUM(D66:F66)</f>
        <v>20</v>
      </c>
      <c r="H66" s="11"/>
      <c r="I66" s="11">
        <v>130</v>
      </c>
    </row>
    <row r="67" spans="3:11" ht="15.75" thickBot="1" x14ac:dyDescent="0.3">
      <c r="F67" s="86" t="s">
        <v>25</v>
      </c>
      <c r="G67" s="89">
        <f>SUM(G65:G66)/SUM(-G64)</f>
        <v>1.4</v>
      </c>
    </row>
    <row r="69" spans="3:11" ht="30" x14ac:dyDescent="0.25">
      <c r="C69" s="84" t="s">
        <v>163</v>
      </c>
      <c r="D69" s="83" t="s">
        <v>20</v>
      </c>
      <c r="E69" s="83" t="s">
        <v>77</v>
      </c>
      <c r="F69" s="83" t="s">
        <v>35</v>
      </c>
      <c r="G69" s="84" t="s">
        <v>75</v>
      </c>
      <c r="K69" s="38" t="s">
        <v>81</v>
      </c>
    </row>
    <row r="70" spans="3:11" x14ac:dyDescent="0.25">
      <c r="C70" s="5">
        <v>0</v>
      </c>
      <c r="D70" s="5">
        <f>D64*I66/I64</f>
        <v>-32.5</v>
      </c>
      <c r="E70" s="5">
        <v>0</v>
      </c>
      <c r="F70" s="5"/>
      <c r="G70" s="5">
        <f>SUM(D70:F70)</f>
        <v>-32.5</v>
      </c>
    </row>
    <row r="71" spans="3:11" x14ac:dyDescent="0.25">
      <c r="C71" s="5">
        <v>1</v>
      </c>
      <c r="D71" s="5">
        <v>0</v>
      </c>
      <c r="E71" s="80">
        <f>E65*I66/I65</f>
        <v>16.956521739130434</v>
      </c>
      <c r="F71" s="5"/>
      <c r="G71" s="80">
        <f>SUM(D71:F71)</f>
        <v>16.956521739130434</v>
      </c>
    </row>
    <row r="72" spans="3:11" ht="15.75" thickBot="1" x14ac:dyDescent="0.3">
      <c r="C72" s="11">
        <v>2</v>
      </c>
      <c r="D72" s="11">
        <v>0</v>
      </c>
      <c r="E72" s="11">
        <v>0</v>
      </c>
      <c r="F72" s="11">
        <f>F66</f>
        <v>20</v>
      </c>
      <c r="G72" s="68">
        <f>SUM(D72:F72)</f>
        <v>20</v>
      </c>
    </row>
    <row r="73" spans="3:11" ht="15.75" thickBot="1" x14ac:dyDescent="0.3">
      <c r="C73" s="5"/>
      <c r="D73" s="5"/>
      <c r="E73" s="5"/>
      <c r="F73" s="86" t="s">
        <v>7</v>
      </c>
      <c r="G73" s="93">
        <f>IRR(G70:G72)</f>
        <v>8.7572380890185597E-2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7"/>
  <sheetViews>
    <sheetView workbookViewId="0">
      <selection activeCell="S24" sqref="S24"/>
    </sheetView>
  </sheetViews>
  <sheetFormatPr defaultRowHeight="15" x14ac:dyDescent="0.25"/>
  <cols>
    <col min="3" max="3" width="16.7109375" bestFit="1" customWidth="1"/>
    <col min="9" max="9" width="16.7109375" bestFit="1" customWidth="1"/>
    <col min="14" max="14" width="16.7109375" bestFit="1" customWidth="1"/>
  </cols>
  <sheetData>
    <row r="2" spans="2:18" x14ac:dyDescent="0.25">
      <c r="B2" t="s">
        <v>82</v>
      </c>
    </row>
    <row r="4" spans="2:18" x14ac:dyDescent="0.25">
      <c r="O4" t="s">
        <v>91</v>
      </c>
    </row>
    <row r="5" spans="2:18" x14ac:dyDescent="0.25">
      <c r="C5" s="5" t="s">
        <v>83</v>
      </c>
      <c r="D5" s="5" t="s">
        <v>85</v>
      </c>
      <c r="E5" s="5" t="s">
        <v>86</v>
      </c>
      <c r="F5" s="5" t="s">
        <v>18</v>
      </c>
      <c r="G5" s="5" t="s">
        <v>19</v>
      </c>
      <c r="I5" s="5" t="s">
        <v>83</v>
      </c>
      <c r="J5" s="5" t="s">
        <v>85</v>
      </c>
      <c r="K5" s="5" t="s">
        <v>86</v>
      </c>
      <c r="L5" s="5" t="s">
        <v>18</v>
      </c>
      <c r="M5" s="5" t="s">
        <v>19</v>
      </c>
      <c r="O5" s="5" t="s">
        <v>85</v>
      </c>
      <c r="P5" s="5" t="s">
        <v>86</v>
      </c>
      <c r="Q5" s="5" t="s">
        <v>18</v>
      </c>
      <c r="R5" s="5" t="s">
        <v>19</v>
      </c>
    </row>
    <row r="6" spans="2:18" x14ac:dyDescent="0.25">
      <c r="C6" s="5">
        <v>0</v>
      </c>
      <c r="D6">
        <v>-12</v>
      </c>
      <c r="E6">
        <v>-20</v>
      </c>
      <c r="F6">
        <v>-20</v>
      </c>
      <c r="G6">
        <v>-8</v>
      </c>
      <c r="I6" s="5">
        <v>0</v>
      </c>
      <c r="J6">
        <v>-12</v>
      </c>
      <c r="K6">
        <v>-20</v>
      </c>
      <c r="L6">
        <v>-20</v>
      </c>
      <c r="M6">
        <v>-8</v>
      </c>
      <c r="O6">
        <f>J6*1.1^($I$11-$I6)</f>
        <v>-19.326120000000007</v>
      </c>
      <c r="P6">
        <f>K6*1.1^($I$11-$I6)</f>
        <v>-32.210200000000015</v>
      </c>
      <c r="Q6">
        <f>L6*1.1^($I$11-$I6)</f>
        <v>-32.210200000000015</v>
      </c>
      <c r="R6">
        <f>M6*1.1^($I$11-$I6)</f>
        <v>-12.884080000000004</v>
      </c>
    </row>
    <row r="7" spans="2:18" x14ac:dyDescent="0.25">
      <c r="C7" s="5">
        <v>1</v>
      </c>
      <c r="D7">
        <v>23</v>
      </c>
      <c r="E7">
        <v>21</v>
      </c>
      <c r="F7">
        <v>0</v>
      </c>
      <c r="G7">
        <v>0</v>
      </c>
      <c r="I7" s="5">
        <v>1</v>
      </c>
      <c r="J7">
        <v>23</v>
      </c>
      <c r="K7">
        <v>21</v>
      </c>
      <c r="L7">
        <v>0</v>
      </c>
      <c r="M7">
        <v>0</v>
      </c>
      <c r="O7">
        <f t="shared" ref="O7:R11" si="0">J7*1.1^($I$11-$I7)</f>
        <v>33.674300000000009</v>
      </c>
      <c r="P7">
        <f t="shared" si="0"/>
        <v>30.746100000000009</v>
      </c>
      <c r="Q7">
        <f t="shared" si="0"/>
        <v>0</v>
      </c>
      <c r="R7">
        <f t="shared" si="0"/>
        <v>0</v>
      </c>
    </row>
    <row r="8" spans="2:18" x14ac:dyDescent="0.25">
      <c r="C8" s="5">
        <v>2</v>
      </c>
      <c r="D8">
        <v>-8</v>
      </c>
      <c r="E8">
        <v>0</v>
      </c>
      <c r="F8">
        <v>0</v>
      </c>
      <c r="G8">
        <v>-12</v>
      </c>
      <c r="I8" s="5">
        <v>2</v>
      </c>
      <c r="J8">
        <v>-8</v>
      </c>
      <c r="K8">
        <v>0</v>
      </c>
      <c r="L8">
        <v>0</v>
      </c>
      <c r="M8">
        <v>-12</v>
      </c>
      <c r="O8">
        <f t="shared" si="0"/>
        <v>-10.648000000000003</v>
      </c>
      <c r="P8">
        <f t="shared" si="0"/>
        <v>0</v>
      </c>
      <c r="Q8">
        <f t="shared" si="0"/>
        <v>0</v>
      </c>
      <c r="R8">
        <f t="shared" si="0"/>
        <v>-15.972000000000005</v>
      </c>
    </row>
    <row r="9" spans="2:18" x14ac:dyDescent="0.25">
      <c r="C9" s="5">
        <v>3</v>
      </c>
      <c r="D9">
        <v>0</v>
      </c>
      <c r="E9">
        <v>5</v>
      </c>
      <c r="F9">
        <v>0</v>
      </c>
      <c r="G9">
        <v>23</v>
      </c>
      <c r="I9" s="5">
        <v>3</v>
      </c>
      <c r="J9">
        <v>0</v>
      </c>
      <c r="K9">
        <v>5</v>
      </c>
      <c r="L9">
        <v>0</v>
      </c>
      <c r="M9">
        <v>23</v>
      </c>
      <c r="O9">
        <f t="shared" si="0"/>
        <v>0</v>
      </c>
      <c r="P9">
        <f t="shared" si="0"/>
        <v>6.0500000000000007</v>
      </c>
      <c r="Q9">
        <f t="shared" si="0"/>
        <v>0</v>
      </c>
      <c r="R9">
        <f t="shared" si="0"/>
        <v>27.830000000000005</v>
      </c>
    </row>
    <row r="10" spans="2:18" x14ac:dyDescent="0.25">
      <c r="C10" s="5">
        <v>4</v>
      </c>
      <c r="D10">
        <v>0</v>
      </c>
      <c r="E10">
        <v>0</v>
      </c>
      <c r="F10">
        <v>33</v>
      </c>
      <c r="G10">
        <v>0</v>
      </c>
      <c r="I10" s="5">
        <v>4</v>
      </c>
      <c r="J10">
        <v>0</v>
      </c>
      <c r="K10">
        <v>0</v>
      </c>
      <c r="L10">
        <v>33</v>
      </c>
      <c r="M10">
        <v>0</v>
      </c>
      <c r="O10">
        <f t="shared" si="0"/>
        <v>0</v>
      </c>
      <c r="P10">
        <f t="shared" si="0"/>
        <v>0</v>
      </c>
      <c r="Q10">
        <f t="shared" si="0"/>
        <v>36.300000000000004</v>
      </c>
      <c r="R10">
        <f t="shared" si="0"/>
        <v>0</v>
      </c>
    </row>
    <row r="11" spans="2:18" x14ac:dyDescent="0.25">
      <c r="C11" s="5">
        <v>5</v>
      </c>
      <c r="D11">
        <v>0</v>
      </c>
      <c r="E11">
        <v>0</v>
      </c>
      <c r="F11">
        <v>0</v>
      </c>
      <c r="G11">
        <v>0</v>
      </c>
      <c r="I11" s="5">
        <v>5</v>
      </c>
      <c r="J11">
        <v>0</v>
      </c>
      <c r="K11">
        <v>0</v>
      </c>
      <c r="L11">
        <v>0</v>
      </c>
      <c r="M11"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</row>
    <row r="12" spans="2:18" x14ac:dyDescent="0.25">
      <c r="C12" t="s">
        <v>1</v>
      </c>
      <c r="D12" s="2">
        <v>0.5</v>
      </c>
      <c r="E12" s="2">
        <v>0.22</v>
      </c>
      <c r="F12" s="2">
        <v>0.14000000000000001</v>
      </c>
      <c r="G12" s="2">
        <v>0.08</v>
      </c>
      <c r="I12" t="s">
        <v>1</v>
      </c>
      <c r="J12" s="2">
        <f>IRR(J6:J11)</f>
        <v>0.46006644078301195</v>
      </c>
      <c r="K12" s="2">
        <f>IRR(K6:K11)</f>
        <v>0.21840551092992944</v>
      </c>
      <c r="L12" s="2">
        <f>IRR(L6:L11)</f>
        <v>0.13336810342735173</v>
      </c>
      <c r="M12" s="2">
        <f>IRR(M6:M11)</f>
        <v>7.9056872878542128E-2</v>
      </c>
    </row>
    <row r="13" spans="2:18" x14ac:dyDescent="0.25">
      <c r="C13" t="s">
        <v>52</v>
      </c>
      <c r="D13">
        <v>1.17</v>
      </c>
      <c r="E13">
        <v>1.3</v>
      </c>
      <c r="F13">
        <v>1.67</v>
      </c>
      <c r="G13">
        <v>1.17</v>
      </c>
      <c r="I13" t="s">
        <v>52</v>
      </c>
      <c r="J13">
        <f>-SUMIF(J6:J11,"&gt;0")/SUMIF(J6:J11,"&lt;0")</f>
        <v>1.1499999999999999</v>
      </c>
      <c r="K13">
        <f>-SUMIF(K6:K11,"&gt;0")/SUMIF(K6:K11,"&lt;0")</f>
        <v>1.3</v>
      </c>
      <c r="L13">
        <f>-SUMIF(L6:L11,"&gt;0")/SUMIF(L6:L11,"&lt;0")</f>
        <v>1.65</v>
      </c>
      <c r="M13">
        <f>-SUMIF(M6:M11,"&gt;0")/SUMIF(M6:M11,"&lt;0")</f>
        <v>1.1499999999999999</v>
      </c>
    </row>
    <row r="14" spans="2:18" x14ac:dyDescent="0.25">
      <c r="C14" t="s">
        <v>87</v>
      </c>
      <c r="D14">
        <v>1.17</v>
      </c>
      <c r="E14">
        <v>1.3</v>
      </c>
      <c r="F14">
        <v>1.67</v>
      </c>
      <c r="G14">
        <v>1.17</v>
      </c>
      <c r="I14" t="s">
        <v>87</v>
      </c>
      <c r="J14">
        <f>J13</f>
        <v>1.1499999999999999</v>
      </c>
      <c r="K14">
        <f t="shared" ref="K14:M14" si="1">K13</f>
        <v>1.3</v>
      </c>
      <c r="L14">
        <f t="shared" si="1"/>
        <v>1.65</v>
      </c>
      <c r="M14">
        <f t="shared" si="1"/>
        <v>1.1499999999999999</v>
      </c>
    </row>
    <row r="15" spans="2:18" x14ac:dyDescent="0.25">
      <c r="C15" t="s">
        <v>88</v>
      </c>
      <c r="D15">
        <v>1.1399999999999999</v>
      </c>
      <c r="E15">
        <v>1.1399999999999999</v>
      </c>
      <c r="F15">
        <v>1.1399999999999999</v>
      </c>
      <c r="G15">
        <v>0.96</v>
      </c>
      <c r="N15" t="s">
        <v>88</v>
      </c>
      <c r="O15" s="4">
        <f>-SUMIF(O6:O11,"&gt;0")/SUMIF(O6:O11,"&lt;0")</f>
        <v>1.1234458259325044</v>
      </c>
      <c r="P15" s="4">
        <f>-SUMIF(P6:P11,"&gt;0")/SUMIF(P6:P11,"&lt;0")</f>
        <v>1.1423741547708488</v>
      </c>
      <c r="Q15" s="4">
        <f>-SUMIF(Q6:Q11,"&gt;0")/SUMIF(Q6:Q11,"&lt;0")</f>
        <v>1.1269722013523662</v>
      </c>
      <c r="R15" s="4">
        <f>-SUMIF(R6:R11,"&gt;0")/SUMIF(R6:R11,"&lt;0")</f>
        <v>0.96444146259644403</v>
      </c>
    </row>
    <row r="16" spans="2:18" x14ac:dyDescent="0.25">
      <c r="C16" t="s">
        <v>89</v>
      </c>
      <c r="D16" s="2">
        <v>0.5</v>
      </c>
      <c r="E16" s="2">
        <v>0.22</v>
      </c>
      <c r="F16" s="2">
        <v>0.14000000000000001</v>
      </c>
      <c r="G16" s="2">
        <v>0.08</v>
      </c>
      <c r="I16" t="s">
        <v>89</v>
      </c>
      <c r="J16" s="2">
        <f>J12</f>
        <v>0.46006644078301195</v>
      </c>
      <c r="K16" s="2">
        <f>K12</f>
        <v>0.21840551092992944</v>
      </c>
      <c r="L16" s="2">
        <f>L12</f>
        <v>0.13336810342735173</v>
      </c>
      <c r="M16" s="2">
        <f>M12</f>
        <v>7.9056872878542128E-2</v>
      </c>
    </row>
    <row r="17" spans="3:18" x14ac:dyDescent="0.25">
      <c r="C17" t="s">
        <v>90</v>
      </c>
      <c r="D17" s="2">
        <v>0.36</v>
      </c>
      <c r="E17" s="2">
        <v>0.11</v>
      </c>
      <c r="F17" s="2">
        <v>0.03</v>
      </c>
      <c r="G17" s="2">
        <v>-0.02</v>
      </c>
      <c r="N17" t="s">
        <v>90</v>
      </c>
      <c r="O17" s="2">
        <f>IRR(O6:O11)</f>
        <v>0.32733312798405545</v>
      </c>
      <c r="P17" s="2">
        <f>IRR(P6:P11)</f>
        <v>0.10764137357235204</v>
      </c>
      <c r="Q17" s="2">
        <f>IRR(Q6:Q11)</f>
        <v>3.0334639479490777E-2</v>
      </c>
      <c r="R17" s="2">
        <f>IRR(R6:R11)</f>
        <v>-1.9039206473891235E-2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>
      <selection activeCell="R45" sqref="R45"/>
    </sheetView>
  </sheetViews>
  <sheetFormatPr defaultRowHeight="15" x14ac:dyDescent="0.25"/>
  <cols>
    <col min="4" max="4" width="9.140625" style="94"/>
    <col min="8" max="8" width="9.140625" style="94"/>
    <col min="12" max="12" width="9.140625" style="94"/>
  </cols>
  <sheetData>
    <row r="1" spans="1:15" x14ac:dyDescent="0.25">
      <c r="A1" t="s">
        <v>92</v>
      </c>
      <c r="D1" s="94" t="s">
        <v>106</v>
      </c>
    </row>
    <row r="5" spans="1:15" x14ac:dyDescent="0.25">
      <c r="C5" t="s">
        <v>93</v>
      </c>
      <c r="D5" s="94" t="s">
        <v>94</v>
      </c>
      <c r="H5" s="94" t="s">
        <v>95</v>
      </c>
      <c r="L5" s="94" t="s">
        <v>96</v>
      </c>
    </row>
    <row r="6" spans="1:15" x14ac:dyDescent="0.25">
      <c r="D6" s="94" t="s">
        <v>97</v>
      </c>
      <c r="E6" t="s">
        <v>98</v>
      </c>
      <c r="F6" t="s">
        <v>99</v>
      </c>
      <c r="G6" t="s">
        <v>100</v>
      </c>
      <c r="H6" s="94" t="s">
        <v>97</v>
      </c>
      <c r="I6" t="s">
        <v>98</v>
      </c>
      <c r="J6" t="s">
        <v>99</v>
      </c>
      <c r="K6" t="s">
        <v>100</v>
      </c>
      <c r="L6" s="94" t="s">
        <v>97</v>
      </c>
      <c r="M6" t="s">
        <v>98</v>
      </c>
      <c r="N6" t="s">
        <v>99</v>
      </c>
      <c r="O6" t="s">
        <v>100</v>
      </c>
    </row>
    <row r="7" spans="1:15" x14ac:dyDescent="0.25">
      <c r="C7">
        <v>1995</v>
      </c>
      <c r="D7" s="94">
        <v>1.59</v>
      </c>
      <c r="E7">
        <v>2.71</v>
      </c>
      <c r="F7">
        <v>1.53</v>
      </c>
      <c r="G7">
        <v>0.61</v>
      </c>
      <c r="H7" s="94">
        <v>0.59</v>
      </c>
      <c r="I7">
        <v>0.6</v>
      </c>
      <c r="J7">
        <v>0.6</v>
      </c>
      <c r="K7">
        <v>0.6</v>
      </c>
      <c r="L7" s="94">
        <v>0.88</v>
      </c>
      <c r="M7">
        <v>0.9</v>
      </c>
      <c r="N7">
        <v>0.84</v>
      </c>
      <c r="O7">
        <v>0.78</v>
      </c>
    </row>
    <row r="8" spans="1:15" x14ac:dyDescent="0.25">
      <c r="C8">
        <v>1996</v>
      </c>
      <c r="D8" s="94">
        <v>1.71</v>
      </c>
      <c r="E8">
        <v>2.68</v>
      </c>
      <c r="F8">
        <v>1.39</v>
      </c>
      <c r="G8">
        <v>0.36</v>
      </c>
      <c r="H8" s="94">
        <v>1.93</v>
      </c>
      <c r="I8">
        <v>2.42</v>
      </c>
      <c r="J8">
        <v>1.8</v>
      </c>
      <c r="K8">
        <v>1.47</v>
      </c>
      <c r="L8" s="94">
        <v>1.08</v>
      </c>
      <c r="M8">
        <v>1.08</v>
      </c>
      <c r="N8">
        <v>1.08</v>
      </c>
      <c r="O8">
        <v>1.08</v>
      </c>
    </row>
    <row r="9" spans="1:15" x14ac:dyDescent="0.25">
      <c r="C9">
        <v>1997</v>
      </c>
      <c r="D9" s="94">
        <v>1.51</v>
      </c>
      <c r="E9">
        <v>2.17</v>
      </c>
      <c r="F9">
        <v>1.21</v>
      </c>
      <c r="G9">
        <v>0.57999999999999996</v>
      </c>
      <c r="H9" s="94">
        <v>1.96</v>
      </c>
      <c r="I9">
        <v>2.23</v>
      </c>
      <c r="J9">
        <v>1.83</v>
      </c>
      <c r="K9">
        <v>0.91</v>
      </c>
      <c r="L9" s="94">
        <v>1.46</v>
      </c>
      <c r="M9">
        <v>1.51</v>
      </c>
      <c r="N9">
        <v>1.5</v>
      </c>
      <c r="O9">
        <v>1.48</v>
      </c>
    </row>
    <row r="10" spans="1:15" x14ac:dyDescent="0.25">
      <c r="C10">
        <v>1998</v>
      </c>
      <c r="D10" s="94">
        <v>1.31</v>
      </c>
      <c r="E10">
        <v>2.44</v>
      </c>
      <c r="F10">
        <v>1.44</v>
      </c>
      <c r="G10">
        <v>0.35</v>
      </c>
      <c r="H10" s="94">
        <v>2.09</v>
      </c>
      <c r="I10">
        <v>2.85</v>
      </c>
      <c r="J10">
        <v>1.53</v>
      </c>
      <c r="K10">
        <v>1.1499999999999999</v>
      </c>
      <c r="L10" s="94">
        <v>1.1399999999999999</v>
      </c>
      <c r="M10">
        <v>1.62</v>
      </c>
      <c r="N10">
        <v>1.38</v>
      </c>
      <c r="O10">
        <v>0.73</v>
      </c>
    </row>
    <row r="11" spans="1:15" x14ac:dyDescent="0.25">
      <c r="C11">
        <v>1999</v>
      </c>
      <c r="D11" s="94">
        <v>1.46</v>
      </c>
      <c r="E11">
        <v>2.63</v>
      </c>
      <c r="F11">
        <v>1.57</v>
      </c>
      <c r="G11">
        <v>0.28999999999999998</v>
      </c>
      <c r="H11" s="94">
        <v>1.85</v>
      </c>
      <c r="I11">
        <v>2.11</v>
      </c>
      <c r="J11">
        <v>1.65</v>
      </c>
      <c r="K11">
        <v>0.3</v>
      </c>
      <c r="L11" s="94">
        <v>1.08</v>
      </c>
      <c r="M11">
        <v>1.1200000000000001</v>
      </c>
      <c r="N11">
        <v>1.04</v>
      </c>
      <c r="O11">
        <v>0.96</v>
      </c>
    </row>
    <row r="12" spans="1:15" x14ac:dyDescent="0.25">
      <c r="C12">
        <v>2000</v>
      </c>
      <c r="D12" s="94">
        <v>1.85</v>
      </c>
      <c r="E12">
        <v>2.92</v>
      </c>
      <c r="F12">
        <v>1.74</v>
      </c>
      <c r="G12">
        <v>0.49</v>
      </c>
      <c r="H12" s="94">
        <v>2.17</v>
      </c>
      <c r="I12">
        <v>2.61</v>
      </c>
      <c r="J12">
        <v>1.72</v>
      </c>
      <c r="K12">
        <v>0.95</v>
      </c>
      <c r="L12" s="94">
        <v>1.87</v>
      </c>
      <c r="M12">
        <v>1.97</v>
      </c>
      <c r="N12">
        <v>1.58</v>
      </c>
      <c r="O12">
        <v>1.49</v>
      </c>
    </row>
    <row r="13" spans="1:15" x14ac:dyDescent="0.25">
      <c r="C13">
        <v>2001</v>
      </c>
      <c r="D13" s="94">
        <v>1.97</v>
      </c>
      <c r="E13">
        <v>3.01</v>
      </c>
      <c r="F13">
        <v>1.93</v>
      </c>
      <c r="G13">
        <v>0.91</v>
      </c>
      <c r="H13" s="94">
        <v>2.15</v>
      </c>
      <c r="I13">
        <v>2.91</v>
      </c>
      <c r="J13">
        <v>1.94</v>
      </c>
      <c r="K13">
        <v>1.1200000000000001</v>
      </c>
      <c r="L13" s="94">
        <v>3.59</v>
      </c>
      <c r="M13">
        <v>3.57</v>
      </c>
      <c r="N13">
        <v>3.11</v>
      </c>
      <c r="O13">
        <v>2.65</v>
      </c>
    </row>
    <row r="14" spans="1:15" x14ac:dyDescent="0.25">
      <c r="C14">
        <v>2002</v>
      </c>
      <c r="D14" s="94">
        <v>1.93</v>
      </c>
      <c r="E14">
        <v>2.54</v>
      </c>
      <c r="F14">
        <v>1.81</v>
      </c>
      <c r="G14">
        <v>1.06</v>
      </c>
      <c r="H14" s="94">
        <v>2.15</v>
      </c>
      <c r="I14">
        <v>3.29</v>
      </c>
      <c r="J14">
        <v>1.91</v>
      </c>
      <c r="K14">
        <v>1.36</v>
      </c>
      <c r="L14" s="94">
        <v>2.84</v>
      </c>
      <c r="M14">
        <v>2.36</v>
      </c>
      <c r="N14">
        <v>2.36</v>
      </c>
      <c r="O14">
        <v>2.36</v>
      </c>
    </row>
    <row r="15" spans="1:15" x14ac:dyDescent="0.25">
      <c r="C15">
        <v>2003</v>
      </c>
      <c r="D15" s="94">
        <v>2.06</v>
      </c>
      <c r="E15">
        <v>3.31</v>
      </c>
      <c r="F15">
        <v>1.77</v>
      </c>
      <c r="G15">
        <v>1.08</v>
      </c>
      <c r="H15" s="94">
        <v>2.09</v>
      </c>
      <c r="I15">
        <v>2.92</v>
      </c>
      <c r="J15">
        <v>1.78</v>
      </c>
      <c r="K15">
        <v>0.57999999999999996</v>
      </c>
    </row>
    <row r="16" spans="1:15" x14ac:dyDescent="0.25">
      <c r="C16">
        <v>2004</v>
      </c>
      <c r="D16" s="94">
        <v>1.79</v>
      </c>
      <c r="E16">
        <v>3</v>
      </c>
      <c r="F16">
        <v>1.61</v>
      </c>
      <c r="G16">
        <v>0.94</v>
      </c>
      <c r="H16" s="94">
        <v>1.68</v>
      </c>
      <c r="I16">
        <v>2.71</v>
      </c>
      <c r="J16">
        <v>1.8</v>
      </c>
      <c r="K16">
        <v>0.85</v>
      </c>
      <c r="L16" s="94">
        <v>1.73</v>
      </c>
      <c r="M16">
        <v>2.17</v>
      </c>
      <c r="N16">
        <v>1.67</v>
      </c>
      <c r="O16">
        <v>0.86</v>
      </c>
    </row>
    <row r="17" spans="3:15" x14ac:dyDescent="0.25">
      <c r="C17">
        <v>2005</v>
      </c>
      <c r="D17" s="94">
        <v>1.61</v>
      </c>
      <c r="E17">
        <v>3.03</v>
      </c>
      <c r="F17">
        <v>1.54</v>
      </c>
      <c r="G17">
        <v>0.73</v>
      </c>
      <c r="H17" s="94">
        <v>1.57</v>
      </c>
      <c r="I17">
        <v>2.09</v>
      </c>
      <c r="J17">
        <v>1.45</v>
      </c>
      <c r="K17">
        <v>0.81</v>
      </c>
      <c r="L17" s="94">
        <v>1.51</v>
      </c>
      <c r="M17">
        <v>2.3199999999999998</v>
      </c>
      <c r="N17">
        <v>1.48</v>
      </c>
      <c r="O17">
        <v>0.79</v>
      </c>
    </row>
    <row r="18" spans="3:15" x14ac:dyDescent="0.25">
      <c r="C18">
        <v>2006</v>
      </c>
      <c r="D18" s="94">
        <v>1.56</v>
      </c>
      <c r="E18">
        <v>2.77</v>
      </c>
      <c r="F18">
        <v>1.63</v>
      </c>
      <c r="G18">
        <v>0.71</v>
      </c>
      <c r="H18" s="94">
        <v>1.29</v>
      </c>
      <c r="I18">
        <v>2.4700000000000002</v>
      </c>
      <c r="J18">
        <v>1.58</v>
      </c>
      <c r="K18">
        <v>0.53</v>
      </c>
      <c r="L18" s="94">
        <v>1.35</v>
      </c>
      <c r="M18">
        <v>1.94</v>
      </c>
      <c r="N18">
        <v>1.31</v>
      </c>
      <c r="O18">
        <v>0.37</v>
      </c>
    </row>
    <row r="19" spans="3:15" x14ac:dyDescent="0.25">
      <c r="C19">
        <v>2007</v>
      </c>
      <c r="D19" s="94">
        <v>1.71</v>
      </c>
      <c r="E19">
        <v>2.88</v>
      </c>
      <c r="F19">
        <v>1.73</v>
      </c>
      <c r="G19">
        <v>0.77</v>
      </c>
      <c r="H19" s="94">
        <v>1.41</v>
      </c>
      <c r="I19">
        <v>2.35</v>
      </c>
      <c r="J19">
        <v>1.5</v>
      </c>
      <c r="K19">
        <v>0.69</v>
      </c>
      <c r="L19" s="94">
        <v>1.73</v>
      </c>
      <c r="M19">
        <v>2.84</v>
      </c>
      <c r="N19">
        <v>1.54</v>
      </c>
      <c r="O19">
        <v>0.62</v>
      </c>
    </row>
    <row r="20" spans="3:15" x14ac:dyDescent="0.25">
      <c r="C20">
        <v>2008</v>
      </c>
      <c r="D20" s="94">
        <v>1.7</v>
      </c>
      <c r="E20">
        <v>2.98</v>
      </c>
      <c r="F20">
        <v>1.68</v>
      </c>
      <c r="G20">
        <v>0.62</v>
      </c>
      <c r="H20" s="94">
        <v>1.62</v>
      </c>
      <c r="I20">
        <v>2.31</v>
      </c>
      <c r="J20">
        <v>1.56</v>
      </c>
      <c r="K20">
        <v>0.57999999999999996</v>
      </c>
      <c r="L20" s="94">
        <v>1.37</v>
      </c>
      <c r="M20">
        <v>3.07</v>
      </c>
      <c r="N20">
        <v>1.5</v>
      </c>
      <c r="O20">
        <v>0.64</v>
      </c>
    </row>
    <row r="21" spans="3:15" x14ac:dyDescent="0.25">
      <c r="C21">
        <v>2009</v>
      </c>
      <c r="D21" s="94">
        <v>2.09</v>
      </c>
      <c r="E21">
        <v>4.2699999999999996</v>
      </c>
      <c r="F21">
        <v>2.04</v>
      </c>
      <c r="G21">
        <v>0.72</v>
      </c>
      <c r="H21" s="94">
        <v>1.53</v>
      </c>
      <c r="I21">
        <v>2.31</v>
      </c>
      <c r="J21">
        <v>1.74</v>
      </c>
      <c r="K21">
        <v>1.0900000000000001</v>
      </c>
      <c r="L21" s="94">
        <v>1.2</v>
      </c>
      <c r="M21">
        <v>1.77</v>
      </c>
      <c r="N21">
        <v>1.47</v>
      </c>
      <c r="O21">
        <v>1.1000000000000001</v>
      </c>
    </row>
    <row r="22" spans="3:15" x14ac:dyDescent="0.25">
      <c r="C22">
        <v>2010</v>
      </c>
      <c r="D22" s="94">
        <v>1.84</v>
      </c>
      <c r="E22">
        <v>3.05</v>
      </c>
      <c r="F22">
        <v>1.84</v>
      </c>
      <c r="G22">
        <v>0.88</v>
      </c>
      <c r="H22" s="94">
        <v>1.47</v>
      </c>
      <c r="I22">
        <v>2.75</v>
      </c>
      <c r="J22">
        <v>1.73</v>
      </c>
      <c r="K22">
        <v>0.5</v>
      </c>
      <c r="L22" s="94">
        <v>1.52</v>
      </c>
      <c r="M22">
        <v>3.4</v>
      </c>
      <c r="N22">
        <v>1.48</v>
      </c>
      <c r="O22">
        <v>1.07</v>
      </c>
    </row>
    <row r="23" spans="3:15" x14ac:dyDescent="0.25">
      <c r="C23">
        <v>2011</v>
      </c>
      <c r="D23" s="94">
        <v>2.06</v>
      </c>
      <c r="E23">
        <v>3.28</v>
      </c>
      <c r="F23">
        <v>1.9</v>
      </c>
      <c r="G23">
        <v>0.94</v>
      </c>
      <c r="H23" s="94">
        <v>1.67</v>
      </c>
      <c r="I23">
        <v>2.91</v>
      </c>
      <c r="J23">
        <v>1.78</v>
      </c>
      <c r="K23">
        <v>0.94</v>
      </c>
      <c r="L23" s="94">
        <v>1.38</v>
      </c>
      <c r="M23">
        <v>2.35</v>
      </c>
      <c r="N23">
        <v>1.81</v>
      </c>
      <c r="O23">
        <v>0.91</v>
      </c>
    </row>
    <row r="24" spans="3:15" x14ac:dyDescent="0.25">
      <c r="C24">
        <v>2012</v>
      </c>
      <c r="D24" s="94">
        <v>1.87</v>
      </c>
      <c r="E24">
        <v>2.9</v>
      </c>
      <c r="F24">
        <v>1.81</v>
      </c>
      <c r="G24">
        <v>0.84</v>
      </c>
      <c r="H24" s="94">
        <v>1.73</v>
      </c>
      <c r="I24">
        <v>2.34</v>
      </c>
      <c r="J24">
        <v>1.63</v>
      </c>
      <c r="K24">
        <v>1.1499999999999999</v>
      </c>
      <c r="L24" s="94">
        <v>1.77</v>
      </c>
      <c r="M24">
        <v>2.44</v>
      </c>
      <c r="N24">
        <v>1.62</v>
      </c>
      <c r="O24">
        <v>1.35</v>
      </c>
    </row>
    <row r="25" spans="3:15" x14ac:dyDescent="0.25">
      <c r="C25">
        <v>2013</v>
      </c>
      <c r="D25" s="94">
        <v>1.85</v>
      </c>
      <c r="E25">
        <v>2.83</v>
      </c>
      <c r="F25">
        <v>1.76</v>
      </c>
      <c r="G25">
        <v>1.17</v>
      </c>
      <c r="H25" s="94">
        <v>1.61</v>
      </c>
      <c r="I25">
        <v>2.82</v>
      </c>
      <c r="J25">
        <v>1.58</v>
      </c>
      <c r="K25">
        <v>1.29</v>
      </c>
      <c r="L25" s="94">
        <v>1.53</v>
      </c>
      <c r="M25">
        <v>3.3</v>
      </c>
      <c r="N25">
        <v>1.48</v>
      </c>
      <c r="O25">
        <v>1.1299999999999999</v>
      </c>
    </row>
    <row r="26" spans="3:15" x14ac:dyDescent="0.25">
      <c r="C26">
        <v>2014</v>
      </c>
      <c r="D26" s="94">
        <v>1.92</v>
      </c>
      <c r="E26">
        <v>3.21</v>
      </c>
      <c r="F26">
        <v>1.67</v>
      </c>
      <c r="G26">
        <v>0.84</v>
      </c>
      <c r="H26" s="94">
        <v>1.85</v>
      </c>
      <c r="I26">
        <v>2.97</v>
      </c>
      <c r="J26">
        <v>1.53</v>
      </c>
      <c r="K26">
        <v>1.1100000000000001</v>
      </c>
      <c r="L26" s="94">
        <v>1.48</v>
      </c>
      <c r="M26">
        <v>1.76</v>
      </c>
      <c r="N26">
        <v>1.5</v>
      </c>
      <c r="O26">
        <v>1.29</v>
      </c>
    </row>
    <row r="27" spans="3:15" x14ac:dyDescent="0.25">
      <c r="C27">
        <v>2015</v>
      </c>
      <c r="D27" s="94">
        <v>1.76</v>
      </c>
      <c r="E27">
        <v>2.8</v>
      </c>
      <c r="F27">
        <v>1.5</v>
      </c>
      <c r="G27">
        <v>1.1100000000000001</v>
      </c>
      <c r="H27" s="94">
        <v>1.6</v>
      </c>
      <c r="I27">
        <v>2.0299999999999998</v>
      </c>
      <c r="J27">
        <v>1.52</v>
      </c>
      <c r="K27">
        <v>1.1299999999999999</v>
      </c>
      <c r="L27" s="94">
        <v>1.38</v>
      </c>
      <c r="M27">
        <v>1.62</v>
      </c>
      <c r="N27">
        <v>1.4</v>
      </c>
      <c r="O27">
        <v>0.9</v>
      </c>
    </row>
    <row r="28" spans="3:15" x14ac:dyDescent="0.25">
      <c r="C28">
        <v>2016</v>
      </c>
      <c r="D28" s="94">
        <v>1.62</v>
      </c>
      <c r="E28">
        <v>2.61</v>
      </c>
      <c r="F28">
        <v>1.53</v>
      </c>
      <c r="G28">
        <v>1.01</v>
      </c>
      <c r="H28" s="94">
        <v>1.51</v>
      </c>
      <c r="I28">
        <v>1.81</v>
      </c>
      <c r="J28">
        <v>1.39</v>
      </c>
      <c r="K28">
        <v>1.06</v>
      </c>
      <c r="L28" s="94">
        <v>1.49</v>
      </c>
      <c r="M28">
        <v>2</v>
      </c>
      <c r="N28">
        <v>1.43</v>
      </c>
      <c r="O28">
        <v>1</v>
      </c>
    </row>
    <row r="29" spans="3:15" x14ac:dyDescent="0.25">
      <c r="C29">
        <v>2017</v>
      </c>
      <c r="D29" s="94">
        <v>1.64</v>
      </c>
      <c r="E29">
        <v>2.31</v>
      </c>
      <c r="F29">
        <v>1.54</v>
      </c>
      <c r="G29">
        <v>1.1200000000000001</v>
      </c>
      <c r="H29" s="94">
        <v>1.48</v>
      </c>
      <c r="I29">
        <v>1.83</v>
      </c>
      <c r="J29">
        <v>1.21</v>
      </c>
      <c r="K29">
        <v>0.74</v>
      </c>
      <c r="L29" s="94">
        <v>1.58</v>
      </c>
      <c r="M29">
        <v>1.84</v>
      </c>
      <c r="N29">
        <v>1.59</v>
      </c>
      <c r="O29">
        <v>1.39</v>
      </c>
    </row>
    <row r="30" spans="3:15" x14ac:dyDescent="0.25">
      <c r="C30">
        <v>2018</v>
      </c>
      <c r="D30" s="94">
        <v>1.35</v>
      </c>
      <c r="E30">
        <v>1.77</v>
      </c>
      <c r="F30">
        <v>1.26</v>
      </c>
      <c r="G30">
        <v>1.01</v>
      </c>
      <c r="H30" s="94">
        <v>1.31</v>
      </c>
      <c r="I30">
        <v>1.76</v>
      </c>
      <c r="J30">
        <v>1.1499999999999999</v>
      </c>
      <c r="K30">
        <v>0.75</v>
      </c>
      <c r="L30" s="94">
        <v>1.24</v>
      </c>
      <c r="M30">
        <v>1.49</v>
      </c>
      <c r="N30">
        <v>1</v>
      </c>
      <c r="O30">
        <v>0.84</v>
      </c>
    </row>
    <row r="31" spans="3:15" x14ac:dyDescent="0.25">
      <c r="C31">
        <v>2019</v>
      </c>
      <c r="D31" s="94">
        <v>1.28</v>
      </c>
      <c r="E31">
        <v>2.02</v>
      </c>
      <c r="F31">
        <v>1.1299999999999999</v>
      </c>
      <c r="G31">
        <v>0.74</v>
      </c>
      <c r="H31" s="94">
        <v>1.1299999999999999</v>
      </c>
      <c r="I31">
        <v>1.4</v>
      </c>
      <c r="J31">
        <v>0.94</v>
      </c>
      <c r="K31">
        <v>0.52</v>
      </c>
      <c r="L31" s="94">
        <v>1.26</v>
      </c>
      <c r="M31">
        <v>1.74</v>
      </c>
      <c r="N31">
        <v>1.1299999999999999</v>
      </c>
      <c r="O31">
        <v>0.94</v>
      </c>
    </row>
    <row r="32" spans="3:15" x14ac:dyDescent="0.25">
      <c r="C32">
        <v>2020</v>
      </c>
      <c r="D32" s="94">
        <v>1.0900000000000001</v>
      </c>
      <c r="E32">
        <v>1.43</v>
      </c>
      <c r="F32">
        <v>1</v>
      </c>
      <c r="G32">
        <v>0.16</v>
      </c>
      <c r="H32" s="94">
        <v>1.28</v>
      </c>
      <c r="I32">
        <v>3</v>
      </c>
      <c r="J32">
        <v>0.87</v>
      </c>
      <c r="K32">
        <v>0.2</v>
      </c>
      <c r="L32" s="94">
        <v>1.01</v>
      </c>
      <c r="M32">
        <v>1.36</v>
      </c>
      <c r="N32">
        <v>0.99</v>
      </c>
      <c r="O32">
        <v>0.28999999999999998</v>
      </c>
    </row>
    <row r="33" spans="3:15" x14ac:dyDescent="0.25">
      <c r="C33">
        <v>2021</v>
      </c>
      <c r="D33" s="94">
        <v>1.19</v>
      </c>
      <c r="E33">
        <v>1.24</v>
      </c>
      <c r="F33">
        <v>1</v>
      </c>
      <c r="G33">
        <v>0.63</v>
      </c>
      <c r="H33" s="94">
        <v>0.98</v>
      </c>
      <c r="I33">
        <v>0.83</v>
      </c>
      <c r="J33">
        <v>0.57999999999999996</v>
      </c>
      <c r="K33">
        <v>0.33</v>
      </c>
      <c r="L33" s="94">
        <v>0.97</v>
      </c>
      <c r="M33">
        <v>0.99</v>
      </c>
      <c r="N33">
        <v>0.93</v>
      </c>
      <c r="O33">
        <v>0.86</v>
      </c>
    </row>
    <row r="34" spans="3:15" x14ac:dyDescent="0.25">
      <c r="C34" t="s">
        <v>101</v>
      </c>
      <c r="D34" s="94">
        <v>1.69</v>
      </c>
      <c r="E34">
        <v>3.05</v>
      </c>
      <c r="F34">
        <v>1.56</v>
      </c>
      <c r="G34">
        <v>0.71</v>
      </c>
      <c r="H34" s="94">
        <v>1.6</v>
      </c>
      <c r="I34">
        <v>2.68</v>
      </c>
      <c r="J34">
        <v>1.51</v>
      </c>
      <c r="K34">
        <v>0.65</v>
      </c>
      <c r="L34" s="94">
        <v>1.48</v>
      </c>
      <c r="M34">
        <v>2.5</v>
      </c>
      <c r="N34">
        <v>1.43</v>
      </c>
      <c r="O34">
        <v>0.74</v>
      </c>
    </row>
    <row r="36" spans="3:15" x14ac:dyDescent="0.25">
      <c r="C36" t="s">
        <v>2</v>
      </c>
      <c r="D36" s="94" t="s">
        <v>94</v>
      </c>
      <c r="H36" s="94" t="s">
        <v>95</v>
      </c>
      <c r="L36" s="94" t="s">
        <v>96</v>
      </c>
    </row>
    <row r="37" spans="3:15" x14ac:dyDescent="0.25">
      <c r="D37" s="94" t="s">
        <v>97</v>
      </c>
      <c r="E37" t="s">
        <v>98</v>
      </c>
      <c r="F37" t="s">
        <v>99</v>
      </c>
      <c r="G37" t="s">
        <v>100</v>
      </c>
      <c r="H37" s="94" t="s">
        <v>97</v>
      </c>
      <c r="I37" t="s">
        <v>98</v>
      </c>
      <c r="J37" t="s">
        <v>99</v>
      </c>
      <c r="K37" t="s">
        <v>100</v>
      </c>
      <c r="L37" s="94" t="s">
        <v>97</v>
      </c>
      <c r="M37" t="s">
        <v>98</v>
      </c>
      <c r="N37" t="s">
        <v>99</v>
      </c>
      <c r="O37" t="s">
        <v>100</v>
      </c>
    </row>
    <row r="38" spans="3:15" x14ac:dyDescent="0.25">
      <c r="C38">
        <v>1995</v>
      </c>
      <c r="D38" s="94">
        <v>1.1100000000000001</v>
      </c>
      <c r="E38">
        <v>1.7</v>
      </c>
      <c r="F38">
        <v>1.03</v>
      </c>
      <c r="G38">
        <v>0.4</v>
      </c>
      <c r="H38" s="94">
        <v>0.43</v>
      </c>
      <c r="I38">
        <v>0.43</v>
      </c>
      <c r="J38">
        <v>0.43</v>
      </c>
      <c r="K38">
        <v>0.43</v>
      </c>
      <c r="L38" s="94">
        <v>0.71</v>
      </c>
      <c r="M38">
        <v>0.72</v>
      </c>
      <c r="N38">
        <v>0.68</v>
      </c>
      <c r="O38">
        <v>0.64</v>
      </c>
    </row>
    <row r="39" spans="3:15" x14ac:dyDescent="0.25">
      <c r="C39">
        <v>1996</v>
      </c>
      <c r="D39" s="94">
        <v>1.27</v>
      </c>
      <c r="E39">
        <v>1.87</v>
      </c>
      <c r="F39">
        <v>1.1100000000000001</v>
      </c>
      <c r="G39">
        <v>0.28999999999999998</v>
      </c>
      <c r="H39" s="94">
        <v>1.27</v>
      </c>
      <c r="I39">
        <v>1.58</v>
      </c>
      <c r="J39">
        <v>1.47</v>
      </c>
      <c r="K39">
        <v>0.95</v>
      </c>
      <c r="L39" s="94">
        <v>0.94</v>
      </c>
      <c r="M39">
        <v>0.94</v>
      </c>
      <c r="N39">
        <v>0.94</v>
      </c>
      <c r="O39">
        <v>0.94</v>
      </c>
    </row>
    <row r="40" spans="3:15" x14ac:dyDescent="0.25">
      <c r="C40">
        <v>1997</v>
      </c>
      <c r="D40" s="94">
        <v>1.24</v>
      </c>
      <c r="E40">
        <v>1.85</v>
      </c>
      <c r="F40">
        <v>1.03</v>
      </c>
      <c r="G40">
        <v>0.59</v>
      </c>
      <c r="H40" s="94">
        <v>1.69</v>
      </c>
      <c r="I40">
        <v>2.1</v>
      </c>
      <c r="J40">
        <v>1.52</v>
      </c>
      <c r="K40">
        <v>0.8</v>
      </c>
      <c r="L40" s="94">
        <v>1.28</v>
      </c>
      <c r="M40">
        <v>1.32</v>
      </c>
      <c r="N40">
        <v>1.26</v>
      </c>
      <c r="O40">
        <v>1.19</v>
      </c>
    </row>
    <row r="41" spans="3:15" x14ac:dyDescent="0.25">
      <c r="C41">
        <v>1998</v>
      </c>
      <c r="D41" s="94">
        <v>1.2</v>
      </c>
      <c r="E41">
        <v>2.27</v>
      </c>
      <c r="F41">
        <v>1.44</v>
      </c>
      <c r="G41">
        <v>0.35</v>
      </c>
      <c r="H41" s="94">
        <v>1.91</v>
      </c>
      <c r="I41">
        <v>2.9</v>
      </c>
      <c r="J41">
        <v>1.47</v>
      </c>
      <c r="K41">
        <v>1.1000000000000001</v>
      </c>
      <c r="L41" s="94">
        <v>1.02</v>
      </c>
      <c r="M41">
        <v>1.47</v>
      </c>
      <c r="N41">
        <v>1.1399999999999999</v>
      </c>
      <c r="O41">
        <v>0.74</v>
      </c>
    </row>
    <row r="42" spans="3:15" x14ac:dyDescent="0.25">
      <c r="C42">
        <v>1999</v>
      </c>
      <c r="D42" s="94">
        <v>1.27</v>
      </c>
      <c r="E42">
        <v>2.09</v>
      </c>
      <c r="F42">
        <v>1.39</v>
      </c>
      <c r="G42">
        <v>0.28000000000000003</v>
      </c>
      <c r="H42" s="94">
        <v>1.51</v>
      </c>
      <c r="I42">
        <v>1.64</v>
      </c>
      <c r="J42">
        <v>1.37</v>
      </c>
      <c r="K42">
        <v>0.32</v>
      </c>
      <c r="L42" s="94">
        <v>1.08</v>
      </c>
      <c r="M42">
        <v>1.0900000000000001</v>
      </c>
      <c r="N42">
        <v>1.06</v>
      </c>
      <c r="O42">
        <v>1.02</v>
      </c>
    </row>
    <row r="43" spans="3:15" x14ac:dyDescent="0.25">
      <c r="C43">
        <v>2000</v>
      </c>
      <c r="D43" s="94">
        <v>1.4</v>
      </c>
      <c r="E43">
        <v>2.6</v>
      </c>
      <c r="F43">
        <v>1.34</v>
      </c>
      <c r="G43">
        <v>0.47</v>
      </c>
      <c r="H43" s="94">
        <v>1.77</v>
      </c>
      <c r="I43">
        <v>1.97</v>
      </c>
      <c r="J43">
        <v>1.39</v>
      </c>
      <c r="K43">
        <v>0.88</v>
      </c>
      <c r="L43" s="94">
        <v>1.63</v>
      </c>
      <c r="M43">
        <v>1.69</v>
      </c>
      <c r="N43">
        <v>1.34</v>
      </c>
      <c r="O43">
        <v>1.31</v>
      </c>
    </row>
    <row r="44" spans="3:15" x14ac:dyDescent="0.25">
      <c r="C44">
        <v>2001</v>
      </c>
      <c r="D44" s="94">
        <v>1.47</v>
      </c>
      <c r="E44">
        <v>2.38</v>
      </c>
      <c r="F44">
        <v>1.52</v>
      </c>
      <c r="G44">
        <v>0.66</v>
      </c>
      <c r="H44" s="94">
        <v>1.53</v>
      </c>
      <c r="I44">
        <v>2.0099999999999998</v>
      </c>
      <c r="J44">
        <v>1.44</v>
      </c>
      <c r="K44">
        <v>0.75</v>
      </c>
      <c r="L44" s="94">
        <v>2.97</v>
      </c>
      <c r="M44">
        <v>2.92</v>
      </c>
      <c r="N44">
        <v>2.68</v>
      </c>
      <c r="O44">
        <v>2.4300000000000002</v>
      </c>
    </row>
    <row r="45" spans="3:15" x14ac:dyDescent="0.25">
      <c r="C45">
        <v>2002</v>
      </c>
      <c r="D45" s="94">
        <v>1.42</v>
      </c>
      <c r="E45">
        <v>1.85</v>
      </c>
      <c r="F45">
        <v>1.32</v>
      </c>
      <c r="G45">
        <v>0.8</v>
      </c>
      <c r="H45" s="94">
        <v>1.48</v>
      </c>
      <c r="I45">
        <v>2.4300000000000002</v>
      </c>
      <c r="J45">
        <v>1.43</v>
      </c>
      <c r="K45">
        <v>1.1000000000000001</v>
      </c>
      <c r="L45" s="94">
        <v>2.39</v>
      </c>
      <c r="M45">
        <v>1.99</v>
      </c>
      <c r="N45">
        <v>1.99</v>
      </c>
      <c r="O45">
        <v>1.99</v>
      </c>
    </row>
    <row r="46" spans="3:15" x14ac:dyDescent="0.25">
      <c r="C46">
        <v>2003</v>
      </c>
      <c r="D46" s="94">
        <v>1.55</v>
      </c>
      <c r="E46">
        <v>3.01</v>
      </c>
      <c r="F46">
        <v>1.33</v>
      </c>
      <c r="G46">
        <v>0.73</v>
      </c>
      <c r="H46" s="94">
        <v>1.6</v>
      </c>
      <c r="I46">
        <v>2.06</v>
      </c>
      <c r="J46">
        <v>1.43</v>
      </c>
      <c r="K46">
        <v>0.41</v>
      </c>
      <c r="L46" s="94">
        <v>1.52</v>
      </c>
      <c r="M46">
        <v>1.78</v>
      </c>
      <c r="N46">
        <v>1.51</v>
      </c>
      <c r="O46">
        <v>0.75</v>
      </c>
    </row>
    <row r="47" spans="3:15" x14ac:dyDescent="0.25">
      <c r="C47">
        <v>2004</v>
      </c>
      <c r="D47" s="94">
        <v>1.35</v>
      </c>
      <c r="E47">
        <v>2.31</v>
      </c>
      <c r="F47">
        <v>1.25</v>
      </c>
      <c r="G47">
        <v>0.66</v>
      </c>
      <c r="H47" s="94">
        <v>1.36</v>
      </c>
      <c r="I47">
        <v>2.1</v>
      </c>
      <c r="J47">
        <v>1.39</v>
      </c>
      <c r="K47">
        <v>0.73</v>
      </c>
      <c r="L47" s="94">
        <v>1.32</v>
      </c>
      <c r="M47">
        <v>2.25</v>
      </c>
      <c r="N47">
        <v>1.3</v>
      </c>
      <c r="O47">
        <v>0.71</v>
      </c>
    </row>
    <row r="48" spans="3:15" x14ac:dyDescent="0.25">
      <c r="C48">
        <v>2005</v>
      </c>
      <c r="D48" s="94">
        <v>1.1499999999999999</v>
      </c>
      <c r="E48">
        <v>2.09</v>
      </c>
      <c r="F48">
        <v>1.05</v>
      </c>
      <c r="G48">
        <v>0.45</v>
      </c>
      <c r="H48" s="94">
        <v>1.32</v>
      </c>
      <c r="I48">
        <v>2.0099999999999998</v>
      </c>
      <c r="J48">
        <v>1.21</v>
      </c>
      <c r="K48">
        <v>0.64</v>
      </c>
      <c r="L48" s="94">
        <v>1.04</v>
      </c>
      <c r="M48">
        <v>1.4</v>
      </c>
      <c r="N48">
        <v>0.93</v>
      </c>
      <c r="O48">
        <v>0.32</v>
      </c>
    </row>
    <row r="49" spans="3:15" x14ac:dyDescent="0.25">
      <c r="C49">
        <v>2006</v>
      </c>
      <c r="D49" s="94">
        <v>1.01</v>
      </c>
      <c r="E49">
        <v>1.69</v>
      </c>
      <c r="F49">
        <v>1.08</v>
      </c>
      <c r="G49">
        <v>0.51</v>
      </c>
      <c r="H49" s="94">
        <v>1.03</v>
      </c>
      <c r="I49">
        <v>1.83</v>
      </c>
      <c r="J49">
        <v>1.21</v>
      </c>
      <c r="K49">
        <v>0.43</v>
      </c>
      <c r="L49" s="94">
        <v>1.1200000000000001</v>
      </c>
      <c r="M49">
        <v>1.78</v>
      </c>
      <c r="N49">
        <v>1.04</v>
      </c>
      <c r="O49">
        <v>0.42</v>
      </c>
    </row>
    <row r="50" spans="3:15" x14ac:dyDescent="0.25">
      <c r="C50">
        <v>2007</v>
      </c>
      <c r="D50" s="94">
        <v>1.02</v>
      </c>
      <c r="E50">
        <v>1.71</v>
      </c>
      <c r="F50">
        <v>1.08</v>
      </c>
      <c r="G50">
        <v>0.47</v>
      </c>
      <c r="H50" s="94">
        <v>1.05</v>
      </c>
      <c r="I50">
        <v>1.64</v>
      </c>
      <c r="J50">
        <v>1.19</v>
      </c>
      <c r="K50">
        <v>0.46</v>
      </c>
      <c r="L50" s="94">
        <v>0.92</v>
      </c>
      <c r="M50">
        <v>1.91</v>
      </c>
      <c r="N50">
        <v>0.93</v>
      </c>
      <c r="O50">
        <v>0.42</v>
      </c>
    </row>
    <row r="51" spans="3:15" x14ac:dyDescent="0.25">
      <c r="C51">
        <v>2008</v>
      </c>
      <c r="D51" s="94">
        <v>1.02</v>
      </c>
      <c r="E51">
        <v>1.6</v>
      </c>
      <c r="F51">
        <v>0.93</v>
      </c>
      <c r="G51">
        <v>0.37</v>
      </c>
      <c r="H51" s="94">
        <v>1.1200000000000001</v>
      </c>
      <c r="I51">
        <v>1.58</v>
      </c>
      <c r="J51">
        <v>1.07</v>
      </c>
      <c r="K51">
        <v>0.37</v>
      </c>
      <c r="L51" s="94">
        <v>0.74</v>
      </c>
      <c r="M51">
        <v>1.04</v>
      </c>
      <c r="N51">
        <v>0.88</v>
      </c>
      <c r="O51">
        <v>0.73</v>
      </c>
    </row>
    <row r="52" spans="3:15" x14ac:dyDescent="0.25">
      <c r="C52">
        <v>2009</v>
      </c>
      <c r="D52" s="94">
        <v>1.17</v>
      </c>
      <c r="E52">
        <v>1.84</v>
      </c>
      <c r="F52">
        <v>1.19</v>
      </c>
      <c r="G52">
        <v>0.51</v>
      </c>
      <c r="H52" s="94">
        <v>1.06</v>
      </c>
      <c r="I52">
        <v>1.62</v>
      </c>
      <c r="J52">
        <v>1.19</v>
      </c>
      <c r="K52">
        <v>0.82</v>
      </c>
      <c r="L52" s="94">
        <v>0.88</v>
      </c>
      <c r="M52">
        <v>2.2400000000000002</v>
      </c>
      <c r="N52">
        <v>0.8</v>
      </c>
      <c r="O52">
        <v>0.65</v>
      </c>
    </row>
    <row r="53" spans="3:15" x14ac:dyDescent="0.25">
      <c r="C53">
        <v>2010</v>
      </c>
      <c r="D53" s="94">
        <v>1.01</v>
      </c>
      <c r="E53">
        <v>1.7</v>
      </c>
      <c r="F53">
        <v>1.01</v>
      </c>
      <c r="G53">
        <v>0.52</v>
      </c>
      <c r="H53" s="94">
        <v>0.98</v>
      </c>
      <c r="I53">
        <v>1.87</v>
      </c>
      <c r="J53">
        <v>1.24</v>
      </c>
      <c r="K53">
        <v>0.34</v>
      </c>
      <c r="L53" s="94">
        <v>0.88</v>
      </c>
      <c r="M53">
        <v>1.43</v>
      </c>
      <c r="N53">
        <v>1.07</v>
      </c>
      <c r="O53">
        <v>0.47</v>
      </c>
    </row>
    <row r="54" spans="3:15" x14ac:dyDescent="0.25">
      <c r="C54">
        <v>2011</v>
      </c>
      <c r="D54" s="94">
        <v>1.1299999999999999</v>
      </c>
      <c r="E54">
        <v>1.82</v>
      </c>
      <c r="F54">
        <v>1.1399999999999999</v>
      </c>
      <c r="G54">
        <v>0.53</v>
      </c>
      <c r="H54" s="94">
        <v>1.17</v>
      </c>
      <c r="I54">
        <v>2.15</v>
      </c>
      <c r="J54">
        <v>1.29</v>
      </c>
      <c r="K54">
        <v>0.61</v>
      </c>
      <c r="L54" s="94">
        <v>1.1499999999999999</v>
      </c>
      <c r="M54">
        <v>1.58</v>
      </c>
      <c r="N54">
        <v>1.04</v>
      </c>
      <c r="O54">
        <v>0.82</v>
      </c>
    </row>
    <row r="55" spans="3:15" x14ac:dyDescent="0.25">
      <c r="C55">
        <v>2012</v>
      </c>
      <c r="D55" s="94">
        <v>1.1299999999999999</v>
      </c>
      <c r="E55">
        <v>1.8</v>
      </c>
      <c r="F55">
        <v>1.1200000000000001</v>
      </c>
      <c r="G55">
        <v>0.56999999999999995</v>
      </c>
      <c r="H55" s="94">
        <v>1.26</v>
      </c>
      <c r="I55">
        <v>1.63</v>
      </c>
      <c r="J55">
        <v>1.3</v>
      </c>
      <c r="K55">
        <v>0.79</v>
      </c>
      <c r="L55" s="94">
        <v>1.03</v>
      </c>
      <c r="M55">
        <v>1.82</v>
      </c>
      <c r="N55">
        <v>1.0900000000000001</v>
      </c>
      <c r="O55">
        <v>0.73</v>
      </c>
    </row>
    <row r="56" spans="3:15" x14ac:dyDescent="0.25">
      <c r="C56">
        <v>2013</v>
      </c>
      <c r="D56" s="94">
        <v>1.1299999999999999</v>
      </c>
      <c r="E56">
        <v>1.81</v>
      </c>
      <c r="F56">
        <v>1.1000000000000001</v>
      </c>
      <c r="G56">
        <v>0.68</v>
      </c>
      <c r="H56" s="94">
        <v>1.24</v>
      </c>
      <c r="I56">
        <v>1.92</v>
      </c>
      <c r="J56">
        <v>1.28</v>
      </c>
      <c r="K56">
        <v>0.99</v>
      </c>
      <c r="L56" s="94">
        <v>1.06</v>
      </c>
      <c r="M56">
        <v>1.37</v>
      </c>
      <c r="N56">
        <v>1.1100000000000001</v>
      </c>
      <c r="O56">
        <v>0.86</v>
      </c>
    </row>
    <row r="57" spans="3:15" x14ac:dyDescent="0.25">
      <c r="C57">
        <v>2014</v>
      </c>
      <c r="D57" s="94">
        <v>1.2</v>
      </c>
      <c r="E57">
        <v>2.0099999999999998</v>
      </c>
      <c r="F57">
        <v>1.05</v>
      </c>
      <c r="G57">
        <v>0.5</v>
      </c>
      <c r="H57" s="94">
        <v>1.47</v>
      </c>
      <c r="I57">
        <v>2.3199999999999998</v>
      </c>
      <c r="J57">
        <v>1.32</v>
      </c>
      <c r="K57">
        <v>0.87</v>
      </c>
      <c r="L57" s="94">
        <v>0.96</v>
      </c>
      <c r="M57">
        <v>1.19</v>
      </c>
      <c r="N57">
        <v>1.01</v>
      </c>
      <c r="O57">
        <v>0.64</v>
      </c>
    </row>
    <row r="58" spans="3:15" x14ac:dyDescent="0.25">
      <c r="C58">
        <v>2015</v>
      </c>
      <c r="D58" s="94">
        <v>1.1299999999999999</v>
      </c>
      <c r="E58">
        <v>1.6</v>
      </c>
      <c r="F58">
        <v>1.03</v>
      </c>
      <c r="G58">
        <v>0.71</v>
      </c>
      <c r="H58" s="94">
        <v>1.32</v>
      </c>
      <c r="I58">
        <v>1.71</v>
      </c>
      <c r="J58">
        <v>1.26</v>
      </c>
      <c r="K58">
        <v>0.95</v>
      </c>
      <c r="L58" s="94">
        <v>1.05</v>
      </c>
      <c r="M58">
        <v>1.31</v>
      </c>
      <c r="N58">
        <v>1.02</v>
      </c>
      <c r="O58">
        <v>0.72</v>
      </c>
    </row>
    <row r="59" spans="3:15" x14ac:dyDescent="0.25">
      <c r="C59">
        <v>2016</v>
      </c>
      <c r="D59" s="94">
        <v>1.05</v>
      </c>
      <c r="E59">
        <v>1.68</v>
      </c>
      <c r="F59">
        <v>1.06</v>
      </c>
      <c r="G59">
        <v>0.7</v>
      </c>
      <c r="H59" s="94">
        <v>1.25</v>
      </c>
      <c r="I59">
        <v>1.49</v>
      </c>
      <c r="J59">
        <v>1.23</v>
      </c>
      <c r="K59">
        <v>0.91</v>
      </c>
      <c r="L59" s="94">
        <v>1.21</v>
      </c>
      <c r="M59">
        <v>1.41</v>
      </c>
      <c r="N59">
        <v>1.25</v>
      </c>
      <c r="O59">
        <v>1</v>
      </c>
    </row>
    <row r="60" spans="3:15" x14ac:dyDescent="0.25">
      <c r="C60">
        <v>2017</v>
      </c>
      <c r="D60" s="94">
        <v>1.1599999999999999</v>
      </c>
      <c r="E60">
        <v>1.68</v>
      </c>
      <c r="F60">
        <v>1.1200000000000001</v>
      </c>
      <c r="G60">
        <v>0.8</v>
      </c>
      <c r="H60" s="94">
        <v>1.27</v>
      </c>
      <c r="I60">
        <v>1.54</v>
      </c>
      <c r="J60">
        <v>1.06</v>
      </c>
      <c r="K60">
        <v>0.7</v>
      </c>
      <c r="L60" s="94">
        <v>0.97</v>
      </c>
      <c r="M60">
        <v>1.18</v>
      </c>
      <c r="N60">
        <v>0.83</v>
      </c>
      <c r="O60">
        <v>0.65</v>
      </c>
    </row>
    <row r="61" spans="3:15" x14ac:dyDescent="0.25">
      <c r="C61">
        <v>2018</v>
      </c>
      <c r="D61" s="94">
        <v>1.02</v>
      </c>
      <c r="E61">
        <v>1.32</v>
      </c>
      <c r="F61">
        <v>0.98</v>
      </c>
      <c r="G61">
        <v>0.76</v>
      </c>
      <c r="H61" s="94">
        <v>1.1299999999999999</v>
      </c>
      <c r="I61">
        <v>1.52</v>
      </c>
      <c r="J61">
        <v>1.04</v>
      </c>
      <c r="K61">
        <v>0.7</v>
      </c>
      <c r="L61" s="94">
        <v>1.03</v>
      </c>
      <c r="M61">
        <v>1.45</v>
      </c>
      <c r="N61">
        <v>0.93</v>
      </c>
      <c r="O61">
        <v>0.8</v>
      </c>
    </row>
    <row r="62" spans="3:15" x14ac:dyDescent="0.25">
      <c r="C62">
        <v>2019</v>
      </c>
      <c r="D62" s="94">
        <v>1.02</v>
      </c>
      <c r="E62">
        <v>1.59</v>
      </c>
      <c r="F62">
        <v>0.92</v>
      </c>
      <c r="G62">
        <v>0.59</v>
      </c>
      <c r="H62" s="94">
        <v>0.97</v>
      </c>
      <c r="I62">
        <v>1.29</v>
      </c>
      <c r="J62">
        <v>0.87</v>
      </c>
      <c r="K62">
        <v>0.55000000000000004</v>
      </c>
      <c r="L62" s="94">
        <v>0.89</v>
      </c>
      <c r="M62">
        <v>1.24</v>
      </c>
      <c r="N62">
        <v>0.77</v>
      </c>
      <c r="O62">
        <v>0.26</v>
      </c>
    </row>
    <row r="63" spans="3:15" x14ac:dyDescent="0.25">
      <c r="C63">
        <v>2020</v>
      </c>
      <c r="D63" s="94">
        <v>0.93</v>
      </c>
      <c r="E63">
        <v>1.25</v>
      </c>
      <c r="F63">
        <v>0.87</v>
      </c>
      <c r="G63">
        <v>0.14000000000000001</v>
      </c>
      <c r="H63" s="94">
        <v>1.08</v>
      </c>
      <c r="I63">
        <v>1.88</v>
      </c>
      <c r="J63">
        <v>0.76</v>
      </c>
      <c r="K63">
        <v>0.24</v>
      </c>
      <c r="L63" s="94">
        <v>0.97</v>
      </c>
      <c r="M63">
        <v>0.99</v>
      </c>
      <c r="N63">
        <v>0.91</v>
      </c>
      <c r="O63">
        <v>0.83</v>
      </c>
    </row>
    <row r="64" spans="3:15" x14ac:dyDescent="0.25">
      <c r="C64">
        <v>2021</v>
      </c>
      <c r="D64" s="94">
        <v>1.1200000000000001</v>
      </c>
      <c r="E64">
        <v>1.1599999999999999</v>
      </c>
      <c r="F64">
        <v>0.95</v>
      </c>
      <c r="G64">
        <v>0.63</v>
      </c>
      <c r="H64" s="94">
        <v>0.94</v>
      </c>
      <c r="I64">
        <v>0.81</v>
      </c>
      <c r="J64">
        <v>0.56000000000000005</v>
      </c>
      <c r="K64">
        <v>0.31</v>
      </c>
      <c r="L64" s="94">
        <v>0.71</v>
      </c>
      <c r="M64">
        <v>0.72</v>
      </c>
      <c r="N64">
        <v>0.68</v>
      </c>
      <c r="O64">
        <v>0.64</v>
      </c>
    </row>
    <row r="65" spans="3:15" x14ac:dyDescent="0.25">
      <c r="C65" t="s">
        <v>101</v>
      </c>
      <c r="D65" s="94">
        <v>1.17</v>
      </c>
      <c r="E65">
        <v>1.97</v>
      </c>
      <c r="F65">
        <v>1.06</v>
      </c>
      <c r="G65">
        <v>0.49</v>
      </c>
      <c r="H65" s="94">
        <v>1.26</v>
      </c>
      <c r="I65">
        <v>2</v>
      </c>
      <c r="J65">
        <v>1.2</v>
      </c>
      <c r="K65">
        <v>0.56000000000000005</v>
      </c>
      <c r="L65" s="94">
        <v>1.07</v>
      </c>
      <c r="M65">
        <v>1.79</v>
      </c>
      <c r="N65">
        <v>1.01</v>
      </c>
      <c r="O65">
        <v>0.53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7"/>
  <sheetViews>
    <sheetView workbookViewId="0">
      <selection activeCell="L4" sqref="L4"/>
    </sheetView>
  </sheetViews>
  <sheetFormatPr defaultRowHeight="15" x14ac:dyDescent="0.25"/>
  <sheetData>
    <row r="1" spans="2:39" x14ac:dyDescent="0.25">
      <c r="B1" t="s">
        <v>107</v>
      </c>
    </row>
    <row r="2" spans="2:39" x14ac:dyDescent="0.25">
      <c r="B2" s="38" t="s">
        <v>112</v>
      </c>
      <c r="AM2" t="s">
        <v>122</v>
      </c>
    </row>
    <row r="3" spans="2:39" x14ac:dyDescent="0.25">
      <c r="L3" t="s">
        <v>123</v>
      </c>
    </row>
    <row r="5" spans="2:39" x14ac:dyDescent="0.25">
      <c r="C5" t="s">
        <v>108</v>
      </c>
      <c r="D5" t="s">
        <v>109</v>
      </c>
      <c r="E5" t="s">
        <v>110</v>
      </c>
      <c r="F5" t="s">
        <v>111</v>
      </c>
      <c r="G5" t="s">
        <v>114</v>
      </c>
      <c r="H5" t="s">
        <v>115</v>
      </c>
      <c r="I5" t="s">
        <v>116</v>
      </c>
      <c r="J5" t="s">
        <v>117</v>
      </c>
    </row>
    <row r="6" spans="2:39" x14ac:dyDescent="0.25">
      <c r="B6">
        <v>1980</v>
      </c>
      <c r="D6">
        <v>2</v>
      </c>
      <c r="E6">
        <v>28.25</v>
      </c>
      <c r="F6">
        <v>23.2</v>
      </c>
      <c r="G6">
        <v>9.34</v>
      </c>
      <c r="H6">
        <v>7.67</v>
      </c>
      <c r="I6">
        <v>2.2400000000000002</v>
      </c>
      <c r="J6">
        <v>1.91</v>
      </c>
    </row>
    <row r="7" spans="2:39" x14ac:dyDescent="0.25">
      <c r="B7">
        <v>1982</v>
      </c>
      <c r="D7">
        <v>2</v>
      </c>
      <c r="E7">
        <v>28.17</v>
      </c>
      <c r="F7">
        <v>24.95</v>
      </c>
      <c r="G7">
        <v>2.86</v>
      </c>
      <c r="H7">
        <v>2.77</v>
      </c>
      <c r="I7">
        <v>1.37</v>
      </c>
      <c r="J7">
        <v>1.21</v>
      </c>
    </row>
    <row r="8" spans="2:39" x14ac:dyDescent="0.25">
      <c r="B8">
        <v>1983</v>
      </c>
      <c r="D8">
        <v>3</v>
      </c>
      <c r="E8">
        <v>20.52</v>
      </c>
      <c r="F8">
        <v>8.51</v>
      </c>
      <c r="G8">
        <v>3.04</v>
      </c>
      <c r="H8">
        <v>1.81</v>
      </c>
      <c r="I8">
        <v>1.21</v>
      </c>
      <c r="J8">
        <v>0.71</v>
      </c>
    </row>
    <row r="9" spans="2:39" x14ac:dyDescent="0.25">
      <c r="B9">
        <v>1984</v>
      </c>
      <c r="D9">
        <v>2</v>
      </c>
      <c r="E9">
        <v>27.18</v>
      </c>
      <c r="F9">
        <v>23.19</v>
      </c>
      <c r="G9">
        <v>4.4000000000000004</v>
      </c>
      <c r="H9">
        <v>4.09</v>
      </c>
      <c r="I9">
        <v>1.53</v>
      </c>
      <c r="J9">
        <v>1.38</v>
      </c>
    </row>
    <row r="10" spans="2:39" x14ac:dyDescent="0.25">
      <c r="B10">
        <v>1985</v>
      </c>
      <c r="D10">
        <v>4</v>
      </c>
      <c r="E10">
        <v>131.66999999999999</v>
      </c>
      <c r="F10">
        <v>35.869999999999997</v>
      </c>
      <c r="G10">
        <v>7.11</v>
      </c>
      <c r="H10">
        <v>2.4300000000000002</v>
      </c>
      <c r="I10">
        <v>5.03</v>
      </c>
      <c r="J10">
        <v>1.3</v>
      </c>
    </row>
    <row r="11" spans="2:39" x14ac:dyDescent="0.25">
      <c r="B11">
        <v>1986</v>
      </c>
      <c r="C11">
        <v>1453</v>
      </c>
      <c r="D11">
        <v>5</v>
      </c>
      <c r="E11">
        <v>24.42</v>
      </c>
      <c r="F11">
        <v>16.79</v>
      </c>
      <c r="G11">
        <v>5.77</v>
      </c>
      <c r="H11">
        <v>2.36</v>
      </c>
      <c r="I11">
        <v>1.52</v>
      </c>
      <c r="J11">
        <v>1.1100000000000001</v>
      </c>
    </row>
    <row r="12" spans="2:39" x14ac:dyDescent="0.25">
      <c r="B12">
        <v>1987</v>
      </c>
      <c r="C12">
        <v>8371</v>
      </c>
      <c r="D12">
        <v>8</v>
      </c>
      <c r="E12">
        <v>10.81</v>
      </c>
      <c r="F12">
        <v>12.85</v>
      </c>
      <c r="G12">
        <v>2.2400000000000002</v>
      </c>
      <c r="H12">
        <v>2.19</v>
      </c>
      <c r="I12">
        <v>0.87</v>
      </c>
      <c r="J12">
        <v>0.97</v>
      </c>
    </row>
    <row r="13" spans="2:39" x14ac:dyDescent="0.25">
      <c r="B13">
        <v>1988</v>
      </c>
      <c r="C13">
        <v>6060</v>
      </c>
      <c r="D13">
        <v>8</v>
      </c>
      <c r="E13">
        <v>15.17</v>
      </c>
      <c r="F13">
        <v>11.21</v>
      </c>
      <c r="G13">
        <v>2.0099999999999998</v>
      </c>
      <c r="H13">
        <v>1.6</v>
      </c>
      <c r="I13">
        <v>0.98</v>
      </c>
      <c r="J13">
        <v>0.84</v>
      </c>
    </row>
    <row r="14" spans="2:39" x14ac:dyDescent="0.25">
      <c r="B14">
        <v>1989</v>
      </c>
      <c r="C14">
        <v>3129</v>
      </c>
      <c r="D14">
        <v>11</v>
      </c>
      <c r="E14">
        <v>26.74</v>
      </c>
      <c r="F14">
        <v>25.67</v>
      </c>
      <c r="G14">
        <v>2.93</v>
      </c>
      <c r="H14">
        <v>3.05</v>
      </c>
      <c r="I14">
        <v>1.48</v>
      </c>
      <c r="J14">
        <v>1.45</v>
      </c>
    </row>
    <row r="15" spans="2:39" x14ac:dyDescent="0.25">
      <c r="B15">
        <v>1990</v>
      </c>
      <c r="C15">
        <v>2306</v>
      </c>
      <c r="D15">
        <v>8</v>
      </c>
      <c r="E15">
        <v>14.56</v>
      </c>
      <c r="F15">
        <v>13.09</v>
      </c>
      <c r="G15">
        <v>2.23</v>
      </c>
      <c r="H15">
        <v>1.96</v>
      </c>
      <c r="I15">
        <v>0.92</v>
      </c>
      <c r="J15">
        <v>0.93</v>
      </c>
    </row>
    <row r="16" spans="2:39" x14ac:dyDescent="0.25">
      <c r="B16" s="94">
        <v>1991</v>
      </c>
      <c r="C16" s="94"/>
      <c r="D16" s="94">
        <v>4</v>
      </c>
      <c r="E16" s="94">
        <v>26.25</v>
      </c>
      <c r="F16" s="94">
        <v>29.02</v>
      </c>
      <c r="G16" s="94">
        <v>2.77</v>
      </c>
      <c r="H16" s="94">
        <v>2.86</v>
      </c>
      <c r="I16" s="94">
        <v>1.22</v>
      </c>
      <c r="J16" s="94">
        <v>1.35</v>
      </c>
    </row>
    <row r="17" spans="2:15" x14ac:dyDescent="0.25">
      <c r="B17" s="94">
        <v>1992</v>
      </c>
      <c r="C17" s="94">
        <v>4087</v>
      </c>
      <c r="D17" s="94">
        <v>9</v>
      </c>
      <c r="E17" s="94">
        <v>32.07</v>
      </c>
      <c r="F17" s="94">
        <v>19.95</v>
      </c>
      <c r="G17" s="94">
        <v>2.12</v>
      </c>
      <c r="H17" s="94">
        <v>1.95</v>
      </c>
      <c r="I17" s="94">
        <v>1.2</v>
      </c>
      <c r="J17" s="94">
        <v>1.0900000000000001</v>
      </c>
      <c r="L17" t="s">
        <v>113</v>
      </c>
    </row>
    <row r="18" spans="2:15" x14ac:dyDescent="0.25">
      <c r="B18" s="94">
        <v>1993</v>
      </c>
      <c r="C18" s="94">
        <v>4574</v>
      </c>
      <c r="D18" s="94">
        <v>9</v>
      </c>
      <c r="E18" s="94">
        <v>18.760000000000002</v>
      </c>
      <c r="F18" s="94">
        <v>17.43</v>
      </c>
      <c r="G18" s="94">
        <v>1.9</v>
      </c>
      <c r="H18" s="94">
        <v>1.72</v>
      </c>
      <c r="I18" s="94">
        <v>0.97</v>
      </c>
      <c r="J18" s="94">
        <v>0.9</v>
      </c>
    </row>
    <row r="19" spans="2:15" x14ac:dyDescent="0.25">
      <c r="B19" s="94">
        <v>1994</v>
      </c>
      <c r="C19" s="94">
        <v>6855</v>
      </c>
      <c r="D19" s="94">
        <v>19</v>
      </c>
      <c r="E19" s="94">
        <v>16.82</v>
      </c>
      <c r="F19" s="94">
        <v>8.75</v>
      </c>
      <c r="G19" s="94">
        <v>1.83</v>
      </c>
      <c r="H19" s="94">
        <v>1.42</v>
      </c>
      <c r="I19" s="94">
        <v>1.1200000000000001</v>
      </c>
      <c r="J19" s="94">
        <v>0.94</v>
      </c>
      <c r="L19" t="s">
        <v>118</v>
      </c>
      <c r="M19" t="s">
        <v>119</v>
      </c>
      <c r="N19" t="s">
        <v>120</v>
      </c>
      <c r="O19" t="s">
        <v>121</v>
      </c>
    </row>
    <row r="20" spans="2:15" x14ac:dyDescent="0.25">
      <c r="B20" s="95">
        <v>1995</v>
      </c>
      <c r="C20" s="95">
        <v>16991</v>
      </c>
      <c r="D20" s="95">
        <v>27</v>
      </c>
      <c r="E20" s="95">
        <v>11.67</v>
      </c>
      <c r="F20" s="95">
        <v>10.49</v>
      </c>
      <c r="G20" s="95">
        <v>1.6</v>
      </c>
      <c r="H20" s="95">
        <v>1.56</v>
      </c>
      <c r="I20" s="95">
        <v>1.1200000000000001</v>
      </c>
      <c r="J20" s="95">
        <v>1.03</v>
      </c>
      <c r="K20" s="96"/>
      <c r="L20" s="95">
        <v>1.59</v>
      </c>
      <c r="M20" s="96">
        <v>1.53</v>
      </c>
      <c r="N20" s="95">
        <v>1.1100000000000001</v>
      </c>
      <c r="O20" s="95">
        <v>0.43</v>
      </c>
    </row>
    <row r="21" spans="2:15" x14ac:dyDescent="0.25">
      <c r="B21" s="95">
        <v>1996</v>
      </c>
      <c r="C21" s="95">
        <v>4888</v>
      </c>
      <c r="D21" s="95">
        <v>19</v>
      </c>
      <c r="E21" s="95">
        <v>15.44</v>
      </c>
      <c r="F21" s="95">
        <v>9.0500000000000007</v>
      </c>
      <c r="G21" s="95">
        <v>1.75</v>
      </c>
      <c r="H21" s="95">
        <v>1.7</v>
      </c>
      <c r="I21" s="95">
        <v>1.3</v>
      </c>
      <c r="J21" s="95">
        <v>1.1399999999999999</v>
      </c>
      <c r="K21" s="96"/>
      <c r="L21" s="95">
        <v>1.71</v>
      </c>
      <c r="M21" s="96">
        <v>1.39</v>
      </c>
      <c r="N21" s="95">
        <v>1.27</v>
      </c>
      <c r="O21" s="95">
        <v>1.27</v>
      </c>
    </row>
    <row r="22" spans="2:15" x14ac:dyDescent="0.25">
      <c r="B22" s="95">
        <v>1997</v>
      </c>
      <c r="C22" s="95">
        <v>26240</v>
      </c>
      <c r="D22" s="95">
        <v>30</v>
      </c>
      <c r="E22" s="95">
        <v>8.26</v>
      </c>
      <c r="F22" s="95">
        <v>3.81</v>
      </c>
      <c r="G22" s="95">
        <v>1.51</v>
      </c>
      <c r="H22" s="95">
        <v>1.23</v>
      </c>
      <c r="I22" s="95">
        <v>1.24</v>
      </c>
      <c r="J22" s="95">
        <v>1.04</v>
      </c>
      <c r="K22" s="96"/>
      <c r="L22" s="95">
        <v>1.51</v>
      </c>
      <c r="M22" s="96">
        <v>1.21</v>
      </c>
      <c r="N22" s="95">
        <v>1.24</v>
      </c>
      <c r="O22" s="95">
        <v>1.69</v>
      </c>
    </row>
    <row r="23" spans="2:15" x14ac:dyDescent="0.25">
      <c r="B23" s="95">
        <v>1998</v>
      </c>
      <c r="C23" s="95">
        <v>39578</v>
      </c>
      <c r="D23" s="95">
        <v>43</v>
      </c>
      <c r="E23" s="95">
        <v>5.34</v>
      </c>
      <c r="F23" s="95">
        <v>8.4600000000000009</v>
      </c>
      <c r="G23" s="95">
        <v>1.32</v>
      </c>
      <c r="H23" s="95">
        <v>1.44</v>
      </c>
      <c r="I23" s="95">
        <v>1.21</v>
      </c>
      <c r="J23" s="95">
        <v>1.44</v>
      </c>
      <c r="K23" s="96"/>
      <c r="L23" s="95">
        <v>1.31</v>
      </c>
      <c r="M23" s="96">
        <v>1.44</v>
      </c>
      <c r="N23" s="95">
        <v>1.2</v>
      </c>
      <c r="O23" s="95">
        <v>1.91</v>
      </c>
    </row>
    <row r="24" spans="2:15" x14ac:dyDescent="0.25">
      <c r="B24" s="95">
        <v>1999</v>
      </c>
      <c r="C24" s="95">
        <v>29891</v>
      </c>
      <c r="D24" s="95">
        <v>34</v>
      </c>
      <c r="E24" s="95">
        <v>7.79</v>
      </c>
      <c r="F24" s="95">
        <v>8.94</v>
      </c>
      <c r="G24" s="95">
        <v>1.44</v>
      </c>
      <c r="H24" s="95">
        <v>1.53</v>
      </c>
      <c r="I24" s="95">
        <v>1.26</v>
      </c>
      <c r="J24" s="95">
        <v>1.37</v>
      </c>
      <c r="K24" s="96"/>
      <c r="L24" s="95">
        <v>1.46</v>
      </c>
      <c r="M24" s="96">
        <v>1.57</v>
      </c>
      <c r="N24" s="95">
        <v>1.27</v>
      </c>
      <c r="O24" s="95">
        <v>1.51</v>
      </c>
    </row>
    <row r="25" spans="2:15" x14ac:dyDescent="0.25">
      <c r="B25" s="95">
        <v>2000</v>
      </c>
      <c r="C25" s="95">
        <v>54914</v>
      </c>
      <c r="D25" s="95">
        <v>51</v>
      </c>
      <c r="E25" s="95">
        <v>15.12</v>
      </c>
      <c r="F25" s="95">
        <v>12.93</v>
      </c>
      <c r="G25" s="95">
        <v>1.84</v>
      </c>
      <c r="H25" s="95">
        <v>1.66</v>
      </c>
      <c r="I25" s="95">
        <v>1.39</v>
      </c>
      <c r="J25" s="95">
        <v>1.32</v>
      </c>
      <c r="K25" s="96"/>
      <c r="L25" s="95">
        <v>1.85</v>
      </c>
      <c r="M25" s="96">
        <v>1.74</v>
      </c>
      <c r="N25" s="95">
        <v>1.4</v>
      </c>
      <c r="O25" s="95">
        <v>1.77</v>
      </c>
    </row>
    <row r="26" spans="2:15" x14ac:dyDescent="0.25">
      <c r="B26" s="95">
        <v>2001</v>
      </c>
      <c r="C26" s="95">
        <v>23338</v>
      </c>
      <c r="D26" s="95">
        <v>33</v>
      </c>
      <c r="E26" s="95">
        <v>23.11</v>
      </c>
      <c r="F26" s="95">
        <v>20.67</v>
      </c>
      <c r="G26" s="95">
        <v>1.97</v>
      </c>
      <c r="H26" s="95">
        <v>1.92</v>
      </c>
      <c r="I26" s="95">
        <v>1.47</v>
      </c>
      <c r="J26" s="95">
        <v>1.47</v>
      </c>
      <c r="K26" s="96"/>
      <c r="L26" s="95">
        <v>1.97</v>
      </c>
      <c r="M26" s="96">
        <v>1.93</v>
      </c>
      <c r="N26" s="95">
        <v>1.47</v>
      </c>
      <c r="O26" s="95">
        <v>1.53</v>
      </c>
    </row>
    <row r="27" spans="2:15" x14ac:dyDescent="0.25">
      <c r="B27" s="95">
        <v>2002</v>
      </c>
      <c r="C27" s="95">
        <v>20639</v>
      </c>
      <c r="D27" s="95">
        <v>22</v>
      </c>
      <c r="E27" s="95">
        <v>16.89</v>
      </c>
      <c r="F27" s="95">
        <v>15.13</v>
      </c>
      <c r="G27" s="95">
        <v>1.92</v>
      </c>
      <c r="H27" s="95">
        <v>1.74</v>
      </c>
      <c r="I27" s="95">
        <v>1.41</v>
      </c>
      <c r="J27" s="95">
        <v>1.29</v>
      </c>
      <c r="K27" s="96"/>
      <c r="L27" s="95">
        <v>1.93</v>
      </c>
      <c r="M27" s="96">
        <v>1.81</v>
      </c>
      <c r="N27" s="95">
        <v>1.42</v>
      </c>
      <c r="O27" s="95">
        <v>1.48</v>
      </c>
    </row>
    <row r="28" spans="2:15" x14ac:dyDescent="0.25">
      <c r="B28" s="95">
        <v>2003</v>
      </c>
      <c r="C28" s="95">
        <v>22018</v>
      </c>
      <c r="D28" s="95">
        <v>24</v>
      </c>
      <c r="E28" s="95">
        <v>20.46</v>
      </c>
      <c r="F28" s="95">
        <v>14.2</v>
      </c>
      <c r="G28" s="95">
        <v>2.0499999999999998</v>
      </c>
      <c r="H28" s="95">
        <v>1.9</v>
      </c>
      <c r="I28" s="95">
        <v>1.55</v>
      </c>
      <c r="J28" s="95">
        <v>1.34</v>
      </c>
      <c r="K28" s="96"/>
      <c r="L28" s="95">
        <v>2.06</v>
      </c>
      <c r="M28" s="96">
        <v>1.77</v>
      </c>
      <c r="N28" s="95">
        <v>1.55</v>
      </c>
      <c r="O28" s="95">
        <v>1.6</v>
      </c>
    </row>
    <row r="29" spans="2:15" x14ac:dyDescent="0.25">
      <c r="B29" s="95">
        <v>2004</v>
      </c>
      <c r="C29" s="95">
        <v>35760</v>
      </c>
      <c r="D29" s="95">
        <v>46</v>
      </c>
      <c r="E29" s="95">
        <v>13.4</v>
      </c>
      <c r="F29" s="95">
        <v>11.93</v>
      </c>
      <c r="G29" s="95">
        <v>1.79</v>
      </c>
      <c r="H29" s="95">
        <v>1.67</v>
      </c>
      <c r="I29" s="95">
        <v>1.35</v>
      </c>
      <c r="J29" s="95">
        <v>1.26</v>
      </c>
      <c r="K29" s="96"/>
      <c r="L29" s="95">
        <v>1.79</v>
      </c>
      <c r="M29" s="96">
        <v>1.61</v>
      </c>
      <c r="N29" s="95">
        <v>1.35</v>
      </c>
      <c r="O29" s="95">
        <v>1.36</v>
      </c>
    </row>
    <row r="30" spans="2:15" x14ac:dyDescent="0.25">
      <c r="B30" s="95">
        <v>2005</v>
      </c>
      <c r="C30" s="95">
        <v>53678</v>
      </c>
      <c r="D30" s="95">
        <v>63</v>
      </c>
      <c r="E30" s="95">
        <v>9.14</v>
      </c>
      <c r="F30" s="95">
        <v>8.35</v>
      </c>
      <c r="G30" s="95">
        <v>1.63</v>
      </c>
      <c r="H30" s="95">
        <v>1.6</v>
      </c>
      <c r="I30" s="95">
        <v>1.1599999999999999</v>
      </c>
      <c r="J30" s="95">
        <v>1.07</v>
      </c>
      <c r="K30" s="96"/>
      <c r="L30" s="95">
        <v>1.61</v>
      </c>
      <c r="M30" s="96">
        <v>1.54</v>
      </c>
      <c r="N30" s="95">
        <v>1.1499999999999999</v>
      </c>
      <c r="O30" s="95">
        <v>1.32</v>
      </c>
    </row>
    <row r="31" spans="2:15" x14ac:dyDescent="0.25">
      <c r="B31" s="95">
        <v>2006</v>
      </c>
      <c r="C31" s="95">
        <v>142122</v>
      </c>
      <c r="D31" s="95">
        <v>71</v>
      </c>
      <c r="E31" s="95">
        <v>7.76</v>
      </c>
      <c r="F31" s="95">
        <v>10.16</v>
      </c>
      <c r="G31" s="95">
        <v>1.56</v>
      </c>
      <c r="H31" s="95">
        <v>1.61</v>
      </c>
      <c r="I31" s="95">
        <v>1.01</v>
      </c>
      <c r="J31" s="95">
        <v>1.07</v>
      </c>
      <c r="K31" s="96"/>
      <c r="L31" s="95">
        <v>1.56</v>
      </c>
      <c r="M31" s="96">
        <v>1.63</v>
      </c>
      <c r="N31" s="95">
        <v>1.01</v>
      </c>
      <c r="O31" s="95">
        <v>1.03</v>
      </c>
    </row>
    <row r="32" spans="2:15" x14ac:dyDescent="0.25">
      <c r="B32" s="95">
        <v>2007</v>
      </c>
      <c r="C32" s="95">
        <v>125896</v>
      </c>
      <c r="D32" s="95">
        <v>73</v>
      </c>
      <c r="E32" s="95">
        <v>10.9</v>
      </c>
      <c r="F32" s="95">
        <v>12.64</v>
      </c>
      <c r="G32" s="95">
        <v>1.71</v>
      </c>
      <c r="H32" s="95">
        <v>1.73</v>
      </c>
      <c r="I32" s="95">
        <v>1.02</v>
      </c>
      <c r="J32" s="95">
        <v>1.07</v>
      </c>
      <c r="K32" s="96"/>
      <c r="L32" s="95">
        <v>1.71</v>
      </c>
      <c r="M32" s="96">
        <v>1.73</v>
      </c>
      <c r="N32" s="95">
        <v>1.02</v>
      </c>
      <c r="O32" s="95">
        <v>1.05</v>
      </c>
    </row>
    <row r="33" spans="2:15" x14ac:dyDescent="0.25">
      <c r="B33" s="95">
        <v>2008</v>
      </c>
      <c r="C33" s="95">
        <v>95164</v>
      </c>
      <c r="D33" s="95">
        <v>75</v>
      </c>
      <c r="E33" s="95">
        <v>13.97</v>
      </c>
      <c r="F33" s="95">
        <v>11.61</v>
      </c>
      <c r="G33" s="95">
        <v>1.71</v>
      </c>
      <c r="H33" s="95">
        <v>1.66</v>
      </c>
      <c r="I33" s="95">
        <v>1.01</v>
      </c>
      <c r="J33" s="95">
        <v>0.92</v>
      </c>
      <c r="K33" s="96"/>
      <c r="L33" s="95">
        <v>1.7</v>
      </c>
      <c r="M33" s="96">
        <v>1.68</v>
      </c>
      <c r="N33" s="95">
        <v>1.02</v>
      </c>
      <c r="O33" s="95">
        <v>1.1200000000000001</v>
      </c>
    </row>
    <row r="34" spans="2:15" x14ac:dyDescent="0.25">
      <c r="B34" s="95">
        <v>2009</v>
      </c>
      <c r="C34" s="95">
        <v>20653</v>
      </c>
      <c r="D34" s="95">
        <v>26</v>
      </c>
      <c r="E34" s="95">
        <v>20.18</v>
      </c>
      <c r="F34" s="95">
        <v>22.12</v>
      </c>
      <c r="G34" s="95">
        <v>2.14</v>
      </c>
      <c r="H34" s="95">
        <v>2.17</v>
      </c>
      <c r="I34" s="95">
        <v>1.19</v>
      </c>
      <c r="J34" s="95">
        <v>1.24</v>
      </c>
      <c r="K34" s="96"/>
      <c r="L34" s="95">
        <v>2.09</v>
      </c>
      <c r="M34" s="96">
        <v>2.04</v>
      </c>
      <c r="N34" s="95">
        <v>1.17</v>
      </c>
      <c r="O34" s="95">
        <v>1.06</v>
      </c>
    </row>
    <row r="35" spans="2:15" x14ac:dyDescent="0.25">
      <c r="B35" s="95">
        <v>2010</v>
      </c>
      <c r="C35" s="95">
        <v>21470</v>
      </c>
      <c r="D35" s="95">
        <v>34</v>
      </c>
      <c r="E35" s="95">
        <v>14.1</v>
      </c>
      <c r="F35" s="95">
        <v>15.11</v>
      </c>
      <c r="G35" s="95">
        <v>1.87</v>
      </c>
      <c r="H35" s="95">
        <v>1.82</v>
      </c>
      <c r="I35" s="95">
        <v>1.01</v>
      </c>
      <c r="J35" s="95">
        <v>1.03</v>
      </c>
      <c r="K35" s="96"/>
      <c r="L35" s="95">
        <v>1.84</v>
      </c>
      <c r="M35" s="96">
        <v>1.84</v>
      </c>
      <c r="N35" s="95">
        <v>1.01</v>
      </c>
      <c r="O35" s="95">
        <v>0.98</v>
      </c>
    </row>
    <row r="36" spans="2:15" x14ac:dyDescent="0.25">
      <c r="B36" s="95">
        <v>2011</v>
      </c>
      <c r="C36" s="95">
        <v>65082</v>
      </c>
      <c r="D36" s="95">
        <v>55</v>
      </c>
      <c r="E36" s="95">
        <v>18.399999999999999</v>
      </c>
      <c r="F36" s="95">
        <v>18.46</v>
      </c>
      <c r="G36" s="95">
        <v>2.1800000000000002</v>
      </c>
      <c r="H36" s="95">
        <v>2.06</v>
      </c>
      <c r="I36" s="95">
        <v>1.1599999999999999</v>
      </c>
      <c r="J36" s="95">
        <v>1.1599999999999999</v>
      </c>
      <c r="K36" s="96"/>
      <c r="L36" s="95">
        <v>2.06</v>
      </c>
      <c r="M36" s="96">
        <v>1.9</v>
      </c>
      <c r="N36" s="95">
        <v>1.1299999999999999</v>
      </c>
      <c r="O36" s="95">
        <v>1.17</v>
      </c>
    </row>
    <row r="37" spans="2:15" x14ac:dyDescent="0.25">
      <c r="B37" s="95">
        <v>2012</v>
      </c>
      <c r="C37" s="95">
        <v>55791</v>
      </c>
      <c r="D37" s="95">
        <v>56</v>
      </c>
      <c r="E37" s="95">
        <v>19.43</v>
      </c>
      <c r="F37" s="95">
        <v>16.7</v>
      </c>
      <c r="G37" s="95">
        <v>2.02</v>
      </c>
      <c r="H37" s="95">
        <v>1.88</v>
      </c>
      <c r="I37" s="95">
        <v>1.17</v>
      </c>
      <c r="J37" s="95">
        <v>1.0900000000000001</v>
      </c>
      <c r="K37" s="96"/>
      <c r="L37" s="95">
        <v>1.87</v>
      </c>
      <c r="M37" s="96">
        <v>1.81</v>
      </c>
      <c r="N37" s="95">
        <v>1.1299999999999999</v>
      </c>
      <c r="O37" s="95">
        <v>1.26</v>
      </c>
    </row>
    <row r="38" spans="2:15" x14ac:dyDescent="0.25">
      <c r="B38" s="95">
        <v>2013</v>
      </c>
      <c r="C38" s="95">
        <v>72623</v>
      </c>
      <c r="D38" s="95">
        <v>53</v>
      </c>
      <c r="E38" s="95">
        <v>18.989999999999998</v>
      </c>
      <c r="F38" s="95">
        <v>18.68</v>
      </c>
      <c r="G38" s="95">
        <v>1.99</v>
      </c>
      <c r="H38" s="95">
        <v>1.91</v>
      </c>
      <c r="I38" s="95">
        <v>1.1499999999999999</v>
      </c>
      <c r="J38" s="95">
        <v>1.1299999999999999</v>
      </c>
      <c r="K38" s="96"/>
      <c r="L38" s="95">
        <v>1.85</v>
      </c>
      <c r="M38" s="96">
        <v>1.76</v>
      </c>
      <c r="N38" s="95">
        <v>1.1299999999999999</v>
      </c>
      <c r="O38" s="95">
        <v>1.24</v>
      </c>
    </row>
    <row r="39" spans="2:15" x14ac:dyDescent="0.25">
      <c r="B39" s="95">
        <v>2014</v>
      </c>
      <c r="C39" s="95">
        <v>87733</v>
      </c>
      <c r="D39" s="95">
        <v>80</v>
      </c>
      <c r="E39" s="95">
        <v>22.22</v>
      </c>
      <c r="F39" s="95">
        <v>16.84</v>
      </c>
      <c r="G39" s="95">
        <v>2.11</v>
      </c>
      <c r="H39" s="95">
        <v>1.82</v>
      </c>
      <c r="I39" s="95">
        <v>1.25</v>
      </c>
      <c r="J39" s="95">
        <v>1.08</v>
      </c>
      <c r="K39" s="96"/>
      <c r="L39" s="95">
        <v>1.92</v>
      </c>
      <c r="M39" s="96">
        <v>1.67</v>
      </c>
      <c r="N39" s="95">
        <v>1.2</v>
      </c>
      <c r="O39" s="95">
        <v>1.47</v>
      </c>
    </row>
    <row r="40" spans="2:15" x14ac:dyDescent="0.25">
      <c r="B40" s="95">
        <v>2015</v>
      </c>
      <c r="C40" s="95">
        <v>73299</v>
      </c>
      <c r="D40" s="95">
        <v>60</v>
      </c>
      <c r="E40" s="95">
        <v>22.02</v>
      </c>
      <c r="F40" s="95">
        <v>18.61</v>
      </c>
      <c r="G40" s="95">
        <v>1.94</v>
      </c>
      <c r="H40" s="95">
        <v>1.65</v>
      </c>
      <c r="I40" s="95">
        <v>1.18</v>
      </c>
      <c r="J40" s="95">
        <v>1.07</v>
      </c>
      <c r="K40" s="96"/>
      <c r="L40" s="95">
        <v>1.76</v>
      </c>
      <c r="M40" s="96">
        <v>1.5</v>
      </c>
      <c r="N40" s="95">
        <v>1.1299999999999999</v>
      </c>
      <c r="O40" s="95">
        <v>1.32</v>
      </c>
    </row>
    <row r="41" spans="2:15" x14ac:dyDescent="0.25">
      <c r="B41" s="95">
        <v>2016</v>
      </c>
      <c r="C41" s="95">
        <v>113295</v>
      </c>
      <c r="D41" s="95">
        <v>78</v>
      </c>
      <c r="E41" s="95">
        <v>21.86</v>
      </c>
      <c r="F41" s="95">
        <v>22.69</v>
      </c>
      <c r="G41" s="95">
        <v>1.83</v>
      </c>
      <c r="H41" s="95">
        <v>1.77</v>
      </c>
      <c r="I41" s="95">
        <v>1.1100000000000001</v>
      </c>
      <c r="J41" s="95">
        <v>1.0900000000000001</v>
      </c>
      <c r="K41" s="96"/>
      <c r="L41" s="95">
        <v>1.62</v>
      </c>
      <c r="M41" s="96">
        <v>1.53</v>
      </c>
      <c r="N41" s="95">
        <v>1.05</v>
      </c>
      <c r="O41" s="95">
        <v>1.25</v>
      </c>
    </row>
    <row r="42" spans="2:15" x14ac:dyDescent="0.25">
      <c r="B42" s="95">
        <v>2017</v>
      </c>
      <c r="C42" s="95">
        <v>91169</v>
      </c>
      <c r="D42" s="95">
        <v>61</v>
      </c>
      <c r="E42" s="95">
        <v>30.6</v>
      </c>
      <c r="F42" s="95">
        <v>30.26</v>
      </c>
      <c r="G42" s="95">
        <v>1.89</v>
      </c>
      <c r="H42" s="95">
        <v>1.72</v>
      </c>
      <c r="I42" s="95">
        <v>1.26</v>
      </c>
      <c r="J42" s="95">
        <v>1.21</v>
      </c>
      <c r="K42" s="96"/>
      <c r="L42" s="95">
        <v>1.64</v>
      </c>
      <c r="M42" s="96">
        <v>1.54</v>
      </c>
      <c r="N42" s="95">
        <v>1.1599999999999999</v>
      </c>
      <c r="O42" s="95">
        <v>1.27</v>
      </c>
    </row>
    <row r="43" spans="2:15" x14ac:dyDescent="0.25">
      <c r="B43" s="94">
        <v>2018</v>
      </c>
      <c r="C43" s="94">
        <v>123938</v>
      </c>
      <c r="D43" s="94">
        <v>72</v>
      </c>
      <c r="E43" s="94">
        <v>22.88</v>
      </c>
      <c r="F43" s="94">
        <v>25.25</v>
      </c>
      <c r="G43" s="94">
        <v>1.45</v>
      </c>
      <c r="H43" s="94">
        <v>1.42</v>
      </c>
      <c r="I43" s="94">
        <v>1.04</v>
      </c>
      <c r="J43" s="94">
        <v>1.02</v>
      </c>
      <c r="L43" s="94">
        <v>1.35</v>
      </c>
      <c r="M43">
        <v>1.26</v>
      </c>
      <c r="N43" s="94">
        <v>1.02</v>
      </c>
      <c r="O43" s="94">
        <v>1.1299999999999999</v>
      </c>
    </row>
    <row r="44" spans="2:15" x14ac:dyDescent="0.25">
      <c r="B44" s="94">
        <v>2019</v>
      </c>
      <c r="C44" s="94">
        <v>224975</v>
      </c>
      <c r="D44" s="94">
        <v>98</v>
      </c>
      <c r="E44" s="94">
        <v>32.130000000000003</v>
      </c>
      <c r="F44" s="94">
        <v>23.98</v>
      </c>
      <c r="G44" s="94">
        <v>1.36</v>
      </c>
      <c r="H44" s="94">
        <v>1.26</v>
      </c>
      <c r="I44" s="94">
        <v>1.0900000000000001</v>
      </c>
      <c r="J44" s="94">
        <v>1.01</v>
      </c>
      <c r="L44" s="94">
        <v>1.28</v>
      </c>
      <c r="M44">
        <v>1.1299999999999999</v>
      </c>
      <c r="N44" s="94">
        <v>1.02</v>
      </c>
      <c r="O44" s="94">
        <v>0.97</v>
      </c>
    </row>
    <row r="45" spans="2:15" x14ac:dyDescent="0.25">
      <c r="B45" s="94">
        <v>2020</v>
      </c>
      <c r="C45" s="94">
        <v>135003</v>
      </c>
      <c r="D45" s="94">
        <v>73</v>
      </c>
      <c r="E45" s="94">
        <v>40.47</v>
      </c>
      <c r="F45" s="94">
        <v>20.68</v>
      </c>
      <c r="G45" s="94">
        <v>1.27</v>
      </c>
      <c r="H45" s="94">
        <v>1.17</v>
      </c>
      <c r="I45" s="94">
        <v>1.08</v>
      </c>
      <c r="J45" s="94">
        <v>1</v>
      </c>
      <c r="L45" s="94">
        <v>1.0900000000000001</v>
      </c>
      <c r="M45">
        <v>1</v>
      </c>
      <c r="N45" s="94">
        <v>0.93</v>
      </c>
      <c r="O45" s="94">
        <v>1.08</v>
      </c>
    </row>
    <row r="46" spans="2:15" x14ac:dyDescent="0.25">
      <c r="B46" s="94">
        <v>2021</v>
      </c>
      <c r="C46" s="94">
        <v>120793</v>
      </c>
      <c r="D46" s="94">
        <v>53</v>
      </c>
      <c r="E46" s="94">
        <v>23.99</v>
      </c>
      <c r="F46" s="94">
        <v>-3.27</v>
      </c>
      <c r="G46" s="94">
        <v>1.08</v>
      </c>
      <c r="H46" s="94">
        <v>0.97</v>
      </c>
      <c r="I46" s="94">
        <v>1.06</v>
      </c>
      <c r="J46" s="94">
        <v>0.97</v>
      </c>
      <c r="L46" s="94">
        <v>1.19</v>
      </c>
      <c r="M46">
        <v>1</v>
      </c>
      <c r="N46" s="94">
        <v>1.1200000000000001</v>
      </c>
      <c r="O46" s="94">
        <v>0.94</v>
      </c>
    </row>
    <row r="47" spans="2:15" x14ac:dyDescent="0.25">
      <c r="B47" t="s">
        <v>101</v>
      </c>
      <c r="C47">
        <v>1937632</v>
      </c>
      <c r="D47">
        <v>1504</v>
      </c>
      <c r="E47">
        <v>15.86</v>
      </c>
      <c r="F47">
        <v>15.35</v>
      </c>
      <c r="G47">
        <v>1.75</v>
      </c>
      <c r="H47">
        <v>1.62</v>
      </c>
      <c r="I47">
        <v>1.18</v>
      </c>
      <c r="J47">
        <v>1.0900000000000001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46" sqref="K46"/>
    </sheetView>
  </sheetViews>
  <sheetFormatPr defaultRowHeight="15" x14ac:dyDescent="0.25"/>
  <cols>
    <col min="10" max="11" width="9.140625" style="1"/>
  </cols>
  <sheetData>
    <row r="1" spans="1:12" x14ac:dyDescent="0.25">
      <c r="A1" t="s">
        <v>102</v>
      </c>
    </row>
    <row r="2" spans="1:12" x14ac:dyDescent="0.25">
      <c r="J2" s="1" t="s">
        <v>103</v>
      </c>
      <c r="K2" s="1" t="s">
        <v>104</v>
      </c>
      <c r="L2" t="s">
        <v>105</v>
      </c>
    </row>
    <row r="3" spans="1:12" x14ac:dyDescent="0.25">
      <c r="I3">
        <v>1991</v>
      </c>
      <c r="J3" s="1">
        <v>0.14199999999999999</v>
      </c>
      <c r="K3" s="1">
        <v>-0.309</v>
      </c>
      <c r="L3" s="1">
        <v>8.3000000000000004E-2</v>
      </c>
    </row>
    <row r="4" spans="1:12" x14ac:dyDescent="0.25">
      <c r="I4">
        <v>1992</v>
      </c>
      <c r="J4" s="1">
        <v>7.1999999999999995E-2</v>
      </c>
      <c r="K4" s="1">
        <v>7.0000000000000007E-2</v>
      </c>
      <c r="L4" s="1">
        <v>7.1999999999999995E-2</v>
      </c>
    </row>
    <row r="5" spans="1:12" x14ac:dyDescent="0.25">
      <c r="I5">
        <v>1993</v>
      </c>
      <c r="J5" s="1">
        <v>0.57299999999999995</v>
      </c>
      <c r="K5" s="1">
        <v>-0.16500000000000001</v>
      </c>
      <c r="L5" s="1">
        <v>0.53200000000000003</v>
      </c>
    </row>
    <row r="6" spans="1:12" x14ac:dyDescent="0.25">
      <c r="I6">
        <v>1994</v>
      </c>
      <c r="J6" s="1">
        <v>0.187</v>
      </c>
      <c r="K6" s="1">
        <v>0.23100000000000001</v>
      </c>
      <c r="L6" s="1">
        <v>0.189</v>
      </c>
    </row>
    <row r="7" spans="1:12" x14ac:dyDescent="0.25">
      <c r="I7">
        <v>1995</v>
      </c>
      <c r="J7" s="1">
        <v>0.26300000000000001</v>
      </c>
      <c r="K7" s="1">
        <v>0.13300000000000001</v>
      </c>
      <c r="L7" s="1">
        <v>0.251</v>
      </c>
    </row>
    <row r="8" spans="1:12" x14ac:dyDescent="0.25">
      <c r="I8">
        <v>1996</v>
      </c>
      <c r="J8" s="1">
        <v>0.315</v>
      </c>
      <c r="K8" s="1">
        <v>0.40399999999999997</v>
      </c>
      <c r="L8" s="1">
        <v>0.32500000000000001</v>
      </c>
    </row>
    <row r="9" spans="1:12" x14ac:dyDescent="0.25">
      <c r="I9">
        <v>1997</v>
      </c>
      <c r="J9" s="1">
        <v>0.221</v>
      </c>
      <c r="K9" s="1">
        <v>0.97900000000000009</v>
      </c>
      <c r="L9" s="1">
        <v>0.372</v>
      </c>
    </row>
    <row r="10" spans="1:12" x14ac:dyDescent="0.25">
      <c r="I10">
        <v>1998</v>
      </c>
      <c r="J10" s="1">
        <v>0.39800000000000002</v>
      </c>
      <c r="K10" s="1">
        <v>-3.0000000000000001E-3</v>
      </c>
      <c r="L10" s="1">
        <v>0.28499999999999998</v>
      </c>
    </row>
    <row r="11" spans="1:12" x14ac:dyDescent="0.25">
      <c r="I11">
        <v>1999</v>
      </c>
      <c r="J11" s="1">
        <v>8.5000000000000006E-2</v>
      </c>
      <c r="K11" s="1">
        <v>-0.16800000000000001</v>
      </c>
      <c r="L11" s="1">
        <v>3.1E-2</v>
      </c>
    </row>
    <row r="12" spans="1:12" x14ac:dyDescent="0.25">
      <c r="I12">
        <v>2000</v>
      </c>
      <c r="J12" s="1">
        <v>0.35099999999999998</v>
      </c>
      <c r="K12" s="1">
        <v>0.38200000000000001</v>
      </c>
      <c r="L12" s="1">
        <v>0.35599999999999998</v>
      </c>
    </row>
    <row r="13" spans="1:12" x14ac:dyDescent="0.25">
      <c r="I13">
        <v>2001</v>
      </c>
      <c r="J13" s="1">
        <v>-0.14699999999999999</v>
      </c>
      <c r="K13" s="1">
        <v>-3.5000000000000003E-2</v>
      </c>
      <c r="L13" s="1">
        <v>-0.13400000000000001</v>
      </c>
    </row>
    <row r="14" spans="1:12" x14ac:dyDescent="0.25">
      <c r="I14">
        <v>2002</v>
      </c>
      <c r="J14" s="1">
        <v>-0.112</v>
      </c>
      <c r="K14" s="1">
        <v>-4.0000000000000001E-3</v>
      </c>
      <c r="L14" s="1">
        <v>-9.8000000000000004E-2</v>
      </c>
    </row>
    <row r="15" spans="1:12" x14ac:dyDescent="0.25">
      <c r="I15">
        <v>2003</v>
      </c>
      <c r="J15" s="1">
        <v>-3.0000000000000001E-3</v>
      </c>
      <c r="K15" s="1">
        <v>2.4E-2</v>
      </c>
      <c r="L15" s="1">
        <v>1E-3</v>
      </c>
    </row>
    <row r="16" spans="1:12" x14ac:dyDescent="0.25">
      <c r="I16">
        <v>2004</v>
      </c>
      <c r="J16" s="1">
        <v>0.32</v>
      </c>
      <c r="K16" s="1">
        <v>0.22699999999999998</v>
      </c>
      <c r="L16" s="1">
        <v>0.30399999999999999</v>
      </c>
    </row>
    <row r="17" spans="9:12" x14ac:dyDescent="0.25">
      <c r="I17">
        <v>2005</v>
      </c>
      <c r="J17" s="1">
        <v>0.32400000000000001</v>
      </c>
      <c r="K17" s="1">
        <v>0.193</v>
      </c>
      <c r="L17" s="1">
        <v>0.30299999999999999</v>
      </c>
    </row>
    <row r="18" spans="9:12" x14ac:dyDescent="0.25">
      <c r="I18">
        <v>2006</v>
      </c>
      <c r="J18" s="1">
        <v>0.35899999999999999</v>
      </c>
      <c r="K18" s="1">
        <v>0.47499999999999998</v>
      </c>
      <c r="L18" s="1">
        <v>0.377</v>
      </c>
    </row>
    <row r="19" spans="9:12" x14ac:dyDescent="0.25">
      <c r="I19">
        <v>2007</v>
      </c>
      <c r="J19" s="1">
        <v>0.45100000000000001</v>
      </c>
      <c r="K19" s="1">
        <v>0.57799999999999996</v>
      </c>
      <c r="L19" s="1">
        <v>0.47199999999999998</v>
      </c>
    </row>
    <row r="20" spans="9:12" x14ac:dyDescent="0.25">
      <c r="I20">
        <v>2008</v>
      </c>
      <c r="J20" s="1">
        <v>-4.5999999999999999E-2</v>
      </c>
      <c r="K20" s="1">
        <v>0.21100000000000002</v>
      </c>
      <c r="L20" s="1">
        <v>-5.0000000000000001E-3</v>
      </c>
    </row>
    <row r="21" spans="9:12" x14ac:dyDescent="0.25">
      <c r="I21">
        <v>2009</v>
      </c>
      <c r="J21" s="1">
        <v>-0.25900000000000001</v>
      </c>
      <c r="K21" s="1">
        <v>-0.28800000000000003</v>
      </c>
      <c r="L21" s="1">
        <v>-0.26500000000000001</v>
      </c>
    </row>
    <row r="22" spans="9:12" x14ac:dyDescent="0.25">
      <c r="I22">
        <v>2010</v>
      </c>
      <c r="J22" s="1">
        <v>0.22700000000000001</v>
      </c>
      <c r="K22" s="1">
        <v>0.14800000000000002</v>
      </c>
      <c r="L22" s="1">
        <v>0.21</v>
      </c>
    </row>
    <row r="23" spans="9:12" x14ac:dyDescent="0.25">
      <c r="I23">
        <v>2011</v>
      </c>
      <c r="J23" s="1">
        <v>0.22800000000000001</v>
      </c>
      <c r="K23" s="1">
        <v>0.33899999999999997</v>
      </c>
      <c r="L23" s="1">
        <v>0.252</v>
      </c>
    </row>
    <row r="24" spans="9:12" x14ac:dyDescent="0.25">
      <c r="I24">
        <v>2012</v>
      </c>
      <c r="J24" s="1">
        <v>8.7999999999999995E-2</v>
      </c>
      <c r="K24" s="1">
        <v>-2.7999999999999997E-2</v>
      </c>
      <c r="L24" s="1">
        <v>5.8999999999999997E-2</v>
      </c>
    </row>
    <row r="25" spans="9:12" x14ac:dyDescent="0.25">
      <c r="I25">
        <v>2013</v>
      </c>
      <c r="J25" s="1">
        <v>0.16200000000000001</v>
      </c>
      <c r="K25" s="1">
        <v>0.10300000000000001</v>
      </c>
      <c r="L25" s="1">
        <v>0.14799999999999999</v>
      </c>
    </row>
    <row r="26" spans="9:12" x14ac:dyDescent="0.25">
      <c r="I26">
        <v>2014</v>
      </c>
      <c r="J26" s="1">
        <v>0.19</v>
      </c>
      <c r="K26" s="1">
        <v>0.188</v>
      </c>
      <c r="L26" s="1">
        <v>0.189</v>
      </c>
    </row>
    <row r="27" spans="9:12" x14ac:dyDescent="0.25">
      <c r="I27">
        <v>2015</v>
      </c>
      <c r="J27" s="1">
        <v>0.14899999999999999</v>
      </c>
      <c r="K27" s="1">
        <v>4.0999999999999995E-2</v>
      </c>
      <c r="L27" s="1">
        <v>0.123</v>
      </c>
    </row>
    <row r="28" spans="9:12" x14ac:dyDescent="0.25">
      <c r="I28">
        <v>2016</v>
      </c>
      <c r="J28" s="1">
        <v>8.4000000000000005E-2</v>
      </c>
      <c r="K28" s="1">
        <v>0.23899999999999999</v>
      </c>
      <c r="L28" s="1">
        <v>0.114</v>
      </c>
    </row>
    <row r="29" spans="9:12" x14ac:dyDescent="0.25">
      <c r="I29">
        <v>2017</v>
      </c>
      <c r="J29" s="1">
        <v>0.20200000000000001</v>
      </c>
      <c r="K29" s="1">
        <v>0.28100000000000003</v>
      </c>
      <c r="L29" s="1">
        <v>0.215</v>
      </c>
    </row>
    <row r="30" spans="9:12" x14ac:dyDescent="0.25">
      <c r="I30">
        <v>2018</v>
      </c>
      <c r="J30" s="1">
        <v>0.20100000000000001</v>
      </c>
      <c r="K30" s="1">
        <v>0.14300000000000002</v>
      </c>
      <c r="L30" s="1">
        <v>0.191</v>
      </c>
    </row>
    <row r="31" spans="9:12" x14ac:dyDescent="0.25">
      <c r="I31">
        <v>2019</v>
      </c>
      <c r="J31" s="1">
        <v>0.12</v>
      </c>
      <c r="K31" s="1">
        <v>0.12300000000000001</v>
      </c>
      <c r="L31" s="1">
        <v>0.121</v>
      </c>
    </row>
    <row r="32" spans="9:12" x14ac:dyDescent="0.25">
      <c r="I32">
        <v>2020</v>
      </c>
      <c r="J32" s="1">
        <v>4.1000000000000002E-2</v>
      </c>
      <c r="K32" s="1">
        <v>2.4E-2</v>
      </c>
      <c r="L32" s="1">
        <v>3.7999999999999999E-2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17"/>
  <sheetViews>
    <sheetView zoomScale="160" zoomScaleNormal="160" workbookViewId="0">
      <selection activeCell="G111" sqref="G111:J111"/>
    </sheetView>
  </sheetViews>
  <sheetFormatPr defaultRowHeight="15" x14ac:dyDescent="0.25"/>
  <cols>
    <col min="11" max="11" width="8.140625" customWidth="1"/>
  </cols>
  <sheetData>
    <row r="2" spans="2:20" x14ac:dyDescent="0.25">
      <c r="B2" t="s">
        <v>133</v>
      </c>
    </row>
    <row r="5" spans="2:20" x14ac:dyDescent="0.25">
      <c r="B5" t="s">
        <v>139</v>
      </c>
      <c r="J5" s="38" t="s">
        <v>136</v>
      </c>
    </row>
    <row r="7" spans="2:20" x14ac:dyDescent="0.25">
      <c r="C7" t="s">
        <v>84</v>
      </c>
      <c r="H7" t="s">
        <v>127</v>
      </c>
      <c r="I7" t="s">
        <v>145</v>
      </c>
      <c r="K7" t="s">
        <v>147</v>
      </c>
      <c r="Q7" s="5" t="s">
        <v>128</v>
      </c>
      <c r="R7" s="5" t="s">
        <v>128</v>
      </c>
      <c r="S7" s="5" t="s">
        <v>128</v>
      </c>
      <c r="T7" s="5" t="s">
        <v>128</v>
      </c>
    </row>
    <row r="8" spans="2:20" x14ac:dyDescent="0.25">
      <c r="B8" s="5" t="s">
        <v>83</v>
      </c>
      <c r="C8" s="5" t="s">
        <v>124</v>
      </c>
      <c r="D8" s="5" t="s">
        <v>125</v>
      </c>
      <c r="E8" s="5" t="s">
        <v>125</v>
      </c>
      <c r="F8" s="5" t="s">
        <v>126</v>
      </c>
      <c r="G8" s="5"/>
      <c r="H8" s="5" t="s">
        <v>128</v>
      </c>
      <c r="I8" s="5" t="s">
        <v>128</v>
      </c>
      <c r="K8" s="5" t="s">
        <v>124</v>
      </c>
      <c r="L8" s="5" t="s">
        <v>124</v>
      </c>
      <c r="M8" s="5" t="s">
        <v>125</v>
      </c>
      <c r="N8" s="5" t="s">
        <v>125</v>
      </c>
      <c r="O8" s="5" t="s">
        <v>126</v>
      </c>
      <c r="P8" s="5" t="s">
        <v>126</v>
      </c>
      <c r="Q8" s="5" t="s">
        <v>129</v>
      </c>
      <c r="R8" s="5" t="s">
        <v>129</v>
      </c>
      <c r="S8" s="5" t="s">
        <v>130</v>
      </c>
      <c r="T8" s="5" t="s">
        <v>130</v>
      </c>
    </row>
    <row r="9" spans="2:20" x14ac:dyDescent="0.25">
      <c r="B9" s="5"/>
      <c r="C9" s="5"/>
      <c r="D9" s="5"/>
      <c r="E9" s="5"/>
      <c r="F9" s="5"/>
      <c r="G9" s="5"/>
      <c r="H9" s="5" t="s">
        <v>129</v>
      </c>
      <c r="I9" s="5" t="s">
        <v>130</v>
      </c>
      <c r="K9" t="s">
        <v>146</v>
      </c>
      <c r="L9" t="s">
        <v>146</v>
      </c>
      <c r="M9" t="s">
        <v>146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</row>
    <row r="10" spans="2:20" x14ac:dyDescent="0.25">
      <c r="B10" s="5">
        <v>0</v>
      </c>
      <c r="C10">
        <v>-100</v>
      </c>
      <c r="D10">
        <v>-100</v>
      </c>
      <c r="E10">
        <v>-100</v>
      </c>
      <c r="F10">
        <v>-100</v>
      </c>
      <c r="H10">
        <f>SUM(C10:F10)</f>
        <v>-400</v>
      </c>
      <c r="I10">
        <v>-416</v>
      </c>
      <c r="K10">
        <f>C10</f>
        <v>-100</v>
      </c>
      <c r="L10">
        <f>C10</f>
        <v>-100</v>
      </c>
      <c r="M10">
        <f>D10</f>
        <v>-100</v>
      </c>
      <c r="N10">
        <f>E10</f>
        <v>-100</v>
      </c>
      <c r="O10">
        <f>F10</f>
        <v>-100</v>
      </c>
      <c r="P10">
        <f>F10</f>
        <v>-100</v>
      </c>
      <c r="Q10">
        <f>H10</f>
        <v>-400</v>
      </c>
      <c r="R10">
        <f>Q10</f>
        <v>-400</v>
      </c>
      <c r="S10">
        <f>I10</f>
        <v>-416</v>
      </c>
      <c r="T10">
        <f>S10</f>
        <v>-416</v>
      </c>
    </row>
    <row r="11" spans="2:20" x14ac:dyDescent="0.25">
      <c r="B11" s="5">
        <v>1</v>
      </c>
      <c r="C11">
        <v>150</v>
      </c>
      <c r="D11">
        <v>0</v>
      </c>
      <c r="E11">
        <v>0</v>
      </c>
      <c r="F11">
        <v>0</v>
      </c>
      <c r="H11">
        <f t="shared" ref="H11:H22" si="0">SUM(C11:F11)</f>
        <v>150</v>
      </c>
      <c r="I11">
        <v>134</v>
      </c>
      <c r="K11">
        <f>C11*1.12^($B$22-$B11)</f>
        <v>521.78249900182755</v>
      </c>
      <c r="L11">
        <v>0</v>
      </c>
      <c r="M11">
        <f>E11*1.12^($B$22-$B11)</f>
        <v>0</v>
      </c>
      <c r="N11">
        <v>0</v>
      </c>
      <c r="O11">
        <f>F11*1.12^($B$22-$B11)</f>
        <v>0</v>
      </c>
      <c r="P11">
        <v>0</v>
      </c>
      <c r="Q11">
        <f>H11*1.12^($B$22-$B11)</f>
        <v>521.78249900182755</v>
      </c>
      <c r="R11">
        <v>0</v>
      </c>
      <c r="S11">
        <f>I11*1.12^($B$22-$B11)</f>
        <v>466.12569910829927</v>
      </c>
      <c r="T11">
        <v>0</v>
      </c>
    </row>
    <row r="12" spans="2:20" x14ac:dyDescent="0.25">
      <c r="B12" s="5">
        <v>2</v>
      </c>
      <c r="C12">
        <v>0</v>
      </c>
      <c r="D12">
        <v>0</v>
      </c>
      <c r="E12">
        <v>0</v>
      </c>
      <c r="F12">
        <v>0</v>
      </c>
      <c r="H12">
        <f t="shared" si="0"/>
        <v>0</v>
      </c>
      <c r="I12">
        <v>-16</v>
      </c>
      <c r="K12">
        <f>C12*1.12^($B$22-B12)</f>
        <v>0</v>
      </c>
      <c r="L12">
        <f>C12*(1+8%)^($B$22-B12)</f>
        <v>0</v>
      </c>
      <c r="M12">
        <f t="shared" ref="M12:M22" si="1">E12*1.12^($B$22-$B12)</f>
        <v>0</v>
      </c>
      <c r="N12">
        <v>0</v>
      </c>
      <c r="O12">
        <f t="shared" ref="O12:O22" si="2">F12*1.12^($B$22-$B12)</f>
        <v>0</v>
      </c>
      <c r="P12">
        <v>0</v>
      </c>
      <c r="Q12">
        <f t="shared" ref="Q12:Q22" si="3">H12*1.12^($B$22-$B12)</f>
        <v>0</v>
      </c>
      <c r="R12">
        <v>0</v>
      </c>
      <c r="S12">
        <f t="shared" ref="S12:S22" si="4">I12*1.12^($B$22-$B12)</f>
        <v>-49.693571333507379</v>
      </c>
      <c r="T12">
        <v>0</v>
      </c>
    </row>
    <row r="13" spans="2:20" x14ac:dyDescent="0.25">
      <c r="B13" s="5">
        <v>3</v>
      </c>
      <c r="C13">
        <v>50</v>
      </c>
      <c r="D13">
        <v>0</v>
      </c>
      <c r="E13">
        <v>0</v>
      </c>
      <c r="F13">
        <v>0</v>
      </c>
      <c r="H13">
        <f t="shared" si="0"/>
        <v>50</v>
      </c>
      <c r="I13">
        <v>34</v>
      </c>
      <c r="K13">
        <f>C13*1.12^($B$22-B13)</f>
        <v>138.6539378725094</v>
      </c>
      <c r="L13">
        <v>0</v>
      </c>
      <c r="M13">
        <f t="shared" si="1"/>
        <v>0</v>
      </c>
      <c r="N13">
        <v>0</v>
      </c>
      <c r="O13">
        <f t="shared" si="2"/>
        <v>0</v>
      </c>
      <c r="P13">
        <v>0</v>
      </c>
      <c r="Q13">
        <f t="shared" si="3"/>
        <v>138.6539378725094</v>
      </c>
      <c r="R13">
        <v>0</v>
      </c>
      <c r="S13">
        <f t="shared" si="4"/>
        <v>94.284677753306397</v>
      </c>
      <c r="T13">
        <v>0</v>
      </c>
    </row>
    <row r="14" spans="2:20" x14ac:dyDescent="0.25">
      <c r="B14" s="5">
        <v>4</v>
      </c>
      <c r="C14">
        <v>0</v>
      </c>
      <c r="D14">
        <v>0</v>
      </c>
      <c r="E14">
        <v>0</v>
      </c>
      <c r="F14">
        <v>0</v>
      </c>
      <c r="H14">
        <f t="shared" si="0"/>
        <v>0</v>
      </c>
      <c r="I14">
        <v>-12</v>
      </c>
      <c r="K14">
        <f t="shared" ref="K14:K22" si="5">C14*1.12^($B$22-B14)</f>
        <v>0</v>
      </c>
      <c r="L14">
        <f>C14*(1+8%)^($B$22-B14)</f>
        <v>0</v>
      </c>
      <c r="M14">
        <f t="shared" si="1"/>
        <v>0</v>
      </c>
      <c r="N14">
        <v>0</v>
      </c>
      <c r="O14">
        <f t="shared" si="2"/>
        <v>0</v>
      </c>
      <c r="P14">
        <v>0</v>
      </c>
      <c r="Q14">
        <f t="shared" si="3"/>
        <v>0</v>
      </c>
      <c r="R14">
        <v>0</v>
      </c>
      <c r="S14">
        <f t="shared" si="4"/>
        <v>-29.711558115537731</v>
      </c>
      <c r="T14">
        <v>0</v>
      </c>
    </row>
    <row r="15" spans="2:20" x14ac:dyDescent="0.25">
      <c r="B15" s="5">
        <v>5</v>
      </c>
      <c r="C15">
        <v>0</v>
      </c>
      <c r="D15">
        <v>100</v>
      </c>
      <c r="E15">
        <v>100</v>
      </c>
      <c r="F15">
        <v>50</v>
      </c>
      <c r="H15">
        <f t="shared" si="0"/>
        <v>250</v>
      </c>
      <c r="I15">
        <v>238</v>
      </c>
      <c r="K15">
        <f t="shared" si="5"/>
        <v>0</v>
      </c>
      <c r="L15">
        <f>C15*(1+8%)^($B$22-B15)</f>
        <v>0</v>
      </c>
      <c r="M15">
        <f t="shared" si="1"/>
        <v>221.0681407406081</v>
      </c>
      <c r="N15">
        <v>0</v>
      </c>
      <c r="O15">
        <f t="shared" si="2"/>
        <v>110.53407037030405</v>
      </c>
      <c r="P15">
        <v>0</v>
      </c>
      <c r="Q15">
        <f t="shared" si="3"/>
        <v>552.67035185152019</v>
      </c>
      <c r="R15">
        <v>0</v>
      </c>
      <c r="S15">
        <f t="shared" si="4"/>
        <v>526.14217496264723</v>
      </c>
      <c r="T15">
        <v>0</v>
      </c>
    </row>
    <row r="16" spans="2:20" x14ac:dyDescent="0.25">
      <c r="B16" s="5">
        <v>6</v>
      </c>
      <c r="C16">
        <v>0</v>
      </c>
      <c r="D16">
        <v>0</v>
      </c>
      <c r="E16">
        <v>0</v>
      </c>
      <c r="F16">
        <v>0</v>
      </c>
      <c r="H16">
        <f t="shared" si="0"/>
        <v>0</v>
      </c>
      <c r="I16">
        <v>-12</v>
      </c>
      <c r="K16">
        <f t="shared" si="5"/>
        <v>0</v>
      </c>
      <c r="L16">
        <f>C16*(1+8%)^($B$22-B16)</f>
        <v>0</v>
      </c>
      <c r="M16">
        <f t="shared" si="1"/>
        <v>0</v>
      </c>
      <c r="N16">
        <v>0</v>
      </c>
      <c r="O16">
        <f t="shared" si="2"/>
        <v>0</v>
      </c>
      <c r="P16">
        <v>0</v>
      </c>
      <c r="Q16">
        <f t="shared" si="3"/>
        <v>0</v>
      </c>
      <c r="R16">
        <v>0</v>
      </c>
      <c r="S16">
        <f t="shared" si="4"/>
        <v>-23.685872222208012</v>
      </c>
      <c r="T16">
        <v>0</v>
      </c>
    </row>
    <row r="17" spans="2:20" x14ac:dyDescent="0.25">
      <c r="B17" s="5">
        <v>7</v>
      </c>
      <c r="C17">
        <v>0</v>
      </c>
      <c r="D17">
        <v>0</v>
      </c>
      <c r="E17">
        <v>0</v>
      </c>
      <c r="F17">
        <v>0</v>
      </c>
      <c r="H17">
        <f t="shared" si="0"/>
        <v>0</v>
      </c>
      <c r="I17">
        <v>-12</v>
      </c>
      <c r="K17">
        <f t="shared" si="5"/>
        <v>0</v>
      </c>
      <c r="L17">
        <f>C17*(1+8%)^($B$22-B17)</f>
        <v>0</v>
      </c>
      <c r="M17">
        <f t="shared" si="1"/>
        <v>0</v>
      </c>
      <c r="N17">
        <v>0</v>
      </c>
      <c r="O17">
        <f t="shared" si="2"/>
        <v>0</v>
      </c>
      <c r="P17">
        <v>0</v>
      </c>
      <c r="Q17">
        <f t="shared" si="3"/>
        <v>0</v>
      </c>
      <c r="R17">
        <v>0</v>
      </c>
      <c r="S17">
        <f t="shared" si="4"/>
        <v>-21.148100198400005</v>
      </c>
      <c r="T17">
        <v>0</v>
      </c>
    </row>
    <row r="18" spans="2:20" x14ac:dyDescent="0.25">
      <c r="B18" s="5">
        <v>8</v>
      </c>
      <c r="C18">
        <v>0</v>
      </c>
      <c r="D18">
        <v>100</v>
      </c>
      <c r="E18">
        <v>100</v>
      </c>
      <c r="F18">
        <v>0</v>
      </c>
      <c r="H18">
        <f t="shared" si="0"/>
        <v>200</v>
      </c>
      <c r="I18">
        <v>188</v>
      </c>
      <c r="K18">
        <f t="shared" si="5"/>
        <v>0</v>
      </c>
      <c r="L18">
        <f>C18*(1+8%)^($B$22-B18)</f>
        <v>0</v>
      </c>
      <c r="M18">
        <f t="shared" si="1"/>
        <v>157.35193600000002</v>
      </c>
      <c r="N18">
        <v>0</v>
      </c>
      <c r="O18">
        <f t="shared" si="2"/>
        <v>0</v>
      </c>
      <c r="P18">
        <v>0</v>
      </c>
      <c r="Q18">
        <f t="shared" si="3"/>
        <v>314.70387200000005</v>
      </c>
      <c r="R18">
        <v>0</v>
      </c>
      <c r="S18">
        <f t="shared" si="4"/>
        <v>295.82163968000009</v>
      </c>
      <c r="T18">
        <v>0</v>
      </c>
    </row>
    <row r="19" spans="2:20" x14ac:dyDescent="0.25">
      <c r="B19" s="5">
        <v>9</v>
      </c>
      <c r="C19">
        <v>0</v>
      </c>
      <c r="D19">
        <v>0</v>
      </c>
      <c r="E19">
        <v>0</v>
      </c>
      <c r="F19">
        <v>0</v>
      </c>
      <c r="H19">
        <f t="shared" si="0"/>
        <v>0</v>
      </c>
      <c r="I19">
        <v>-4</v>
      </c>
      <c r="K19">
        <f t="shared" si="5"/>
        <v>0</v>
      </c>
      <c r="L19">
        <f>C19*(1+8%)^($B$22-B19)</f>
        <v>0</v>
      </c>
      <c r="M19">
        <f t="shared" si="1"/>
        <v>0</v>
      </c>
      <c r="N19">
        <v>0</v>
      </c>
      <c r="O19">
        <f t="shared" si="2"/>
        <v>0</v>
      </c>
      <c r="P19">
        <v>0</v>
      </c>
      <c r="Q19">
        <f t="shared" si="3"/>
        <v>0</v>
      </c>
      <c r="R19">
        <v>0</v>
      </c>
      <c r="S19">
        <f t="shared" si="4"/>
        <v>-5.6197120000000016</v>
      </c>
      <c r="T19">
        <v>0</v>
      </c>
    </row>
    <row r="20" spans="2:20" x14ac:dyDescent="0.25">
      <c r="B20" s="5">
        <v>10</v>
      </c>
      <c r="C20">
        <v>0</v>
      </c>
      <c r="D20">
        <v>0</v>
      </c>
      <c r="E20">
        <v>0</v>
      </c>
      <c r="F20">
        <v>0</v>
      </c>
      <c r="H20">
        <f t="shared" si="0"/>
        <v>0</v>
      </c>
      <c r="I20">
        <v>-4</v>
      </c>
      <c r="K20">
        <f t="shared" si="5"/>
        <v>0</v>
      </c>
      <c r="L20">
        <f>C20*(1+8%)^($B$22-B20)</f>
        <v>0</v>
      </c>
      <c r="M20">
        <f t="shared" si="1"/>
        <v>0</v>
      </c>
      <c r="N20">
        <v>0</v>
      </c>
      <c r="O20">
        <f t="shared" si="2"/>
        <v>0</v>
      </c>
      <c r="P20">
        <v>0</v>
      </c>
      <c r="Q20">
        <f t="shared" si="3"/>
        <v>0</v>
      </c>
      <c r="R20">
        <v>0</v>
      </c>
      <c r="S20">
        <f t="shared" si="4"/>
        <v>-5.0176000000000007</v>
      </c>
      <c r="T20">
        <v>0</v>
      </c>
    </row>
    <row r="21" spans="2:20" x14ac:dyDescent="0.25">
      <c r="B21" s="5">
        <v>11</v>
      </c>
      <c r="C21">
        <v>0</v>
      </c>
      <c r="D21">
        <v>0</v>
      </c>
      <c r="E21">
        <v>0</v>
      </c>
      <c r="F21">
        <v>0</v>
      </c>
      <c r="H21">
        <f t="shared" si="0"/>
        <v>0</v>
      </c>
      <c r="I21">
        <v>-4</v>
      </c>
      <c r="K21">
        <f t="shared" si="5"/>
        <v>0</v>
      </c>
      <c r="L21">
        <f>C21*(1+8%)^($B$22-B21)</f>
        <v>0</v>
      </c>
      <c r="M21">
        <f t="shared" si="1"/>
        <v>0</v>
      </c>
      <c r="N21">
        <v>0</v>
      </c>
      <c r="O21">
        <f t="shared" si="2"/>
        <v>0</v>
      </c>
      <c r="P21">
        <v>0</v>
      </c>
      <c r="Q21">
        <f t="shared" si="3"/>
        <v>0</v>
      </c>
      <c r="R21">
        <v>0</v>
      </c>
      <c r="S21">
        <f t="shared" si="4"/>
        <v>-4.4800000000000004</v>
      </c>
      <c r="T21">
        <v>0</v>
      </c>
    </row>
    <row r="22" spans="2:20" x14ac:dyDescent="0.25">
      <c r="B22" s="5">
        <v>12</v>
      </c>
      <c r="C22">
        <v>0</v>
      </c>
      <c r="D22">
        <v>0</v>
      </c>
      <c r="E22">
        <v>0</v>
      </c>
      <c r="F22">
        <v>10</v>
      </c>
      <c r="H22">
        <f t="shared" si="0"/>
        <v>10</v>
      </c>
      <c r="I22">
        <v>6</v>
      </c>
      <c r="K22">
        <f t="shared" si="5"/>
        <v>0</v>
      </c>
      <c r="L22">
        <f>SUM(K11:K22)</f>
        <v>660.43643687433701</v>
      </c>
      <c r="M22">
        <f t="shared" si="1"/>
        <v>0</v>
      </c>
      <c r="N22">
        <f>SUM(M11:M22)</f>
        <v>378.42007674060812</v>
      </c>
      <c r="O22">
        <f t="shared" si="2"/>
        <v>10</v>
      </c>
      <c r="P22">
        <f>SUM(O11:O22)</f>
        <v>120.53407037030405</v>
      </c>
      <c r="Q22">
        <f t="shared" si="3"/>
        <v>10</v>
      </c>
      <c r="R22">
        <f>SUM(Q11:Q22)</f>
        <v>1537.8106607258574</v>
      </c>
      <c r="S22">
        <f t="shared" si="4"/>
        <v>6</v>
      </c>
      <c r="T22">
        <f>SUM(S11:S22)</f>
        <v>1249.0177776346</v>
      </c>
    </row>
    <row r="23" spans="2:20" x14ac:dyDescent="0.25">
      <c r="B23" t="s">
        <v>1</v>
      </c>
      <c r="C23" s="97">
        <f>IRR(C10:C22)</f>
        <v>0.67765069880406004</v>
      </c>
      <c r="D23" s="97">
        <f>IRR(D10:D22)</f>
        <v>0.11479780584661747</v>
      </c>
      <c r="E23" s="97">
        <f>IRR(E10:E22)</f>
        <v>0.11479780584661747</v>
      </c>
      <c r="F23" s="97">
        <f>IRR(F10:F22)</f>
        <v>-7.5926619649617555E-2</v>
      </c>
      <c r="G23" s="97">
        <f>AVERAGE(C23:F23)</f>
        <v>0.20782992271191936</v>
      </c>
      <c r="H23" s="97">
        <f>IRR(H10:H22)</f>
        <v>0.11640373071186993</v>
      </c>
      <c r="I23" s="97">
        <f>IRR(I10:I22)</f>
        <v>5.4822831913592163E-2</v>
      </c>
      <c r="L23" s="97"/>
    </row>
    <row r="24" spans="2:20" x14ac:dyDescent="0.25">
      <c r="B24" t="s">
        <v>17</v>
      </c>
      <c r="C24" s="97">
        <f>IRR(L10:L22)</f>
        <v>0.17035941218376793</v>
      </c>
      <c r="D24" s="97">
        <f>IRR(N10:N22)</f>
        <v>0.11728640439026883</v>
      </c>
      <c r="E24" s="97">
        <f>IRR(N10:N22)</f>
        <v>0.11728640439026883</v>
      </c>
      <c r="F24" s="97">
        <f>IRR(P10:P22)</f>
        <v>1.5685264755789019E-2</v>
      </c>
      <c r="G24" s="97">
        <f>AVERAGE(C24:F24)</f>
        <v>0.10515437143002365</v>
      </c>
      <c r="H24" s="97">
        <f>IRR(R10:R22)</f>
        <v>0.11875993833256593</v>
      </c>
      <c r="I24" s="97">
        <f>IRR(T10:T22)</f>
        <v>9.5947139454643393E-2</v>
      </c>
    </row>
    <row r="25" spans="2:20" x14ac:dyDescent="0.25">
      <c r="B25" t="s">
        <v>131</v>
      </c>
      <c r="C25" s="2">
        <v>0.34</v>
      </c>
      <c r="D25" s="2">
        <v>0.12</v>
      </c>
      <c r="E25" s="2">
        <v>0.12</v>
      </c>
      <c r="F25" s="2">
        <v>0.02</v>
      </c>
      <c r="G25" s="2"/>
      <c r="H25" s="2">
        <v>0.12</v>
      </c>
      <c r="I25" s="2">
        <v>0.1</v>
      </c>
    </row>
    <row r="26" spans="2:20" x14ac:dyDescent="0.25">
      <c r="B26" t="s">
        <v>12</v>
      </c>
      <c r="C26" s="98">
        <f>NPV(12%,C11:C22)+C10</f>
        <v>69.517583819241963</v>
      </c>
      <c r="D26" s="98">
        <f>NPV(12%,D11:D22)+D10</f>
        <v>-2.8689916302031833</v>
      </c>
      <c r="E26" s="98">
        <f>NPV(12%,E11:E22)+E10</f>
        <v>-2.8689916302031833</v>
      </c>
      <c r="F26" s="98">
        <f>NPV(12%,F11:F22)+F10</f>
        <v>-69.061906284616157</v>
      </c>
      <c r="H26">
        <v>-5.28</v>
      </c>
      <c r="I26">
        <v>-95.41</v>
      </c>
    </row>
    <row r="27" spans="2:20" x14ac:dyDescent="0.25">
      <c r="B27" t="s">
        <v>132</v>
      </c>
      <c r="C27">
        <v>1.42</v>
      </c>
      <c r="D27">
        <v>6.25</v>
      </c>
      <c r="E27">
        <v>6.25</v>
      </c>
      <c r="F27">
        <v>5.58</v>
      </c>
    </row>
    <row r="29" spans="2:20" x14ac:dyDescent="0.25">
      <c r="B29" t="s">
        <v>52</v>
      </c>
      <c r="C29" s="3">
        <f>SUMIF(C10:C22,"&gt;0")/-SUMIF(C10:C22,"&lt;0")</f>
        <v>2</v>
      </c>
      <c r="D29" s="3">
        <f>SUMIF(D10:D22,"&gt;0")/-SUMIF(D10:D22,"&lt;0")</f>
        <v>2</v>
      </c>
      <c r="E29" s="3">
        <f>SUMIF(E10:E22,"&gt;0")/-SUMIF(E10:E22,"&lt;0")</f>
        <v>2</v>
      </c>
      <c r="F29" s="3">
        <f>SUMIF(F10:F22,"&gt;0")/-SUMIF(F10:F22,"&lt;0")</f>
        <v>0.6</v>
      </c>
      <c r="G29" s="3"/>
      <c r="H29" s="3">
        <f>SUMIF(H10:H22,"&gt;0")/-SUMIF(H10:H22,"&lt;0")</f>
        <v>1.65</v>
      </c>
      <c r="I29" s="3">
        <f>SUMIF(I10:I22,"&gt;0")/-SUMIF(I10:I22,"&lt;0")</f>
        <v>1.25</v>
      </c>
    </row>
    <row r="30" spans="2:20" x14ac:dyDescent="0.25">
      <c r="B30" t="s">
        <v>135</v>
      </c>
      <c r="C30" s="2">
        <v>0.12</v>
      </c>
    </row>
    <row r="33" spans="2:8" x14ac:dyDescent="0.25">
      <c r="B33" t="s">
        <v>140</v>
      </c>
    </row>
    <row r="35" spans="2:8" x14ac:dyDescent="0.25">
      <c r="B35" s="5" t="s">
        <v>83</v>
      </c>
      <c r="C35" s="5" t="s">
        <v>124</v>
      </c>
      <c r="D35" s="5" t="s">
        <v>125</v>
      </c>
      <c r="E35" s="5" t="s">
        <v>126</v>
      </c>
      <c r="F35" s="5" t="s">
        <v>44</v>
      </c>
      <c r="G35" s="5" t="s">
        <v>137</v>
      </c>
      <c r="H35" s="5" t="s">
        <v>138</v>
      </c>
    </row>
    <row r="36" spans="2:8" x14ac:dyDescent="0.25">
      <c r="B36" s="5">
        <v>0</v>
      </c>
      <c r="C36">
        <v>-100</v>
      </c>
      <c r="F36">
        <f>SUM(C36:E36)</f>
        <v>-100</v>
      </c>
      <c r="G36">
        <v>-100</v>
      </c>
      <c r="H36">
        <v>-100</v>
      </c>
    </row>
    <row r="37" spans="2:8" x14ac:dyDescent="0.25">
      <c r="B37" s="5">
        <v>1</v>
      </c>
      <c r="C37">
        <v>150</v>
      </c>
      <c r="F37">
        <f t="shared" ref="F37:F61" si="6">SUM(C37:E37)</f>
        <v>150</v>
      </c>
      <c r="G37">
        <v>150</v>
      </c>
      <c r="H37">
        <v>150</v>
      </c>
    </row>
    <row r="38" spans="2:8" x14ac:dyDescent="0.25">
      <c r="B38" s="5">
        <v>2</v>
      </c>
      <c r="C38">
        <v>0</v>
      </c>
      <c r="F38">
        <f t="shared" si="6"/>
        <v>0</v>
      </c>
      <c r="G38">
        <v>0</v>
      </c>
      <c r="H38">
        <v>0</v>
      </c>
    </row>
    <row r="39" spans="2:8" x14ac:dyDescent="0.25">
      <c r="B39" s="5">
        <v>3</v>
      </c>
      <c r="C39">
        <v>50</v>
      </c>
      <c r="F39">
        <f t="shared" si="6"/>
        <v>50</v>
      </c>
      <c r="G39">
        <v>50</v>
      </c>
      <c r="H39">
        <v>50</v>
      </c>
    </row>
    <row r="40" spans="2:8" x14ac:dyDescent="0.25">
      <c r="B40" s="5">
        <v>4</v>
      </c>
      <c r="C40">
        <v>0</v>
      </c>
      <c r="D40">
        <v>-100</v>
      </c>
      <c r="F40">
        <f t="shared" si="6"/>
        <v>-100</v>
      </c>
      <c r="G40">
        <v>-100</v>
      </c>
      <c r="H40">
        <v>-100</v>
      </c>
    </row>
    <row r="41" spans="2:8" x14ac:dyDescent="0.25">
      <c r="B41" s="5">
        <v>5</v>
      </c>
      <c r="C41">
        <v>0</v>
      </c>
      <c r="D41">
        <v>0</v>
      </c>
      <c r="F41">
        <f t="shared" si="6"/>
        <v>0</v>
      </c>
      <c r="G41">
        <v>0</v>
      </c>
      <c r="H41">
        <v>0</v>
      </c>
    </row>
    <row r="42" spans="2:8" x14ac:dyDescent="0.25">
      <c r="B42" s="5">
        <v>6</v>
      </c>
      <c r="C42">
        <v>0</v>
      </c>
      <c r="D42">
        <v>0</v>
      </c>
      <c r="F42">
        <f t="shared" si="6"/>
        <v>0</v>
      </c>
      <c r="G42">
        <v>0</v>
      </c>
      <c r="H42">
        <v>0</v>
      </c>
    </row>
    <row r="43" spans="2:8" x14ac:dyDescent="0.25">
      <c r="B43" s="5">
        <v>7</v>
      </c>
      <c r="C43">
        <v>0</v>
      </c>
      <c r="D43">
        <v>0</v>
      </c>
      <c r="F43">
        <f t="shared" si="6"/>
        <v>0</v>
      </c>
      <c r="G43">
        <v>0</v>
      </c>
      <c r="H43">
        <v>0</v>
      </c>
    </row>
    <row r="44" spans="2:8" x14ac:dyDescent="0.25">
      <c r="B44" s="5">
        <v>8</v>
      </c>
      <c r="C44">
        <v>0</v>
      </c>
      <c r="D44">
        <v>0</v>
      </c>
      <c r="F44">
        <f t="shared" si="6"/>
        <v>0</v>
      </c>
      <c r="G44">
        <v>0</v>
      </c>
      <c r="H44">
        <v>0</v>
      </c>
    </row>
    <row r="45" spans="2:8" x14ac:dyDescent="0.25">
      <c r="B45" s="5">
        <v>9</v>
      </c>
      <c r="C45">
        <v>0</v>
      </c>
      <c r="D45">
        <v>100</v>
      </c>
      <c r="F45">
        <f t="shared" si="6"/>
        <v>100</v>
      </c>
      <c r="G45">
        <v>100</v>
      </c>
      <c r="H45">
        <v>100</v>
      </c>
    </row>
    <row r="46" spans="2:8" x14ac:dyDescent="0.25">
      <c r="B46" s="5">
        <v>10</v>
      </c>
      <c r="C46">
        <v>0</v>
      </c>
      <c r="D46">
        <v>0</v>
      </c>
      <c r="F46">
        <f t="shared" si="6"/>
        <v>0</v>
      </c>
      <c r="G46">
        <v>0</v>
      </c>
      <c r="H46">
        <v>0</v>
      </c>
    </row>
    <row r="47" spans="2:8" x14ac:dyDescent="0.25">
      <c r="B47" s="5">
        <v>11</v>
      </c>
      <c r="C47">
        <v>0</v>
      </c>
      <c r="D47">
        <v>0</v>
      </c>
      <c r="F47">
        <f t="shared" si="6"/>
        <v>0</v>
      </c>
      <c r="G47">
        <v>0</v>
      </c>
      <c r="H47">
        <v>0</v>
      </c>
    </row>
    <row r="48" spans="2:8" x14ac:dyDescent="0.25">
      <c r="B48" s="5">
        <v>12</v>
      </c>
      <c r="C48">
        <v>0</v>
      </c>
      <c r="D48">
        <v>100</v>
      </c>
      <c r="F48">
        <f t="shared" si="6"/>
        <v>100</v>
      </c>
      <c r="G48">
        <v>100</v>
      </c>
      <c r="H48">
        <v>100</v>
      </c>
    </row>
    <row r="49" spans="2:8" x14ac:dyDescent="0.25">
      <c r="B49" s="5">
        <v>13</v>
      </c>
      <c r="D49">
        <v>0</v>
      </c>
      <c r="E49">
        <v>-100</v>
      </c>
      <c r="F49">
        <f t="shared" si="6"/>
        <v>-100</v>
      </c>
      <c r="G49">
        <v>-100</v>
      </c>
      <c r="H49">
        <v>-100</v>
      </c>
    </row>
    <row r="50" spans="2:8" x14ac:dyDescent="0.25">
      <c r="B50" s="5">
        <v>14</v>
      </c>
      <c r="D50">
        <v>0</v>
      </c>
      <c r="E50">
        <v>0</v>
      </c>
      <c r="F50">
        <f t="shared" si="6"/>
        <v>0</v>
      </c>
      <c r="G50">
        <v>0</v>
      </c>
      <c r="H50">
        <v>0</v>
      </c>
    </row>
    <row r="51" spans="2:8" x14ac:dyDescent="0.25">
      <c r="B51" s="5">
        <v>15</v>
      </c>
      <c r="D51">
        <v>0</v>
      </c>
      <c r="E51">
        <v>0</v>
      </c>
      <c r="F51">
        <f t="shared" si="6"/>
        <v>0</v>
      </c>
      <c r="G51">
        <v>0</v>
      </c>
      <c r="H51">
        <v>0</v>
      </c>
    </row>
    <row r="52" spans="2:8" x14ac:dyDescent="0.25">
      <c r="B52" s="5">
        <v>16</v>
      </c>
      <c r="D52">
        <v>0</v>
      </c>
      <c r="E52">
        <v>0</v>
      </c>
      <c r="F52">
        <f t="shared" si="6"/>
        <v>0</v>
      </c>
      <c r="G52">
        <v>0</v>
      </c>
      <c r="H52">
        <v>0</v>
      </c>
    </row>
    <row r="53" spans="2:8" x14ac:dyDescent="0.25">
      <c r="B53" s="5">
        <v>17</v>
      </c>
      <c r="E53">
        <v>0</v>
      </c>
      <c r="F53">
        <f t="shared" si="6"/>
        <v>0</v>
      </c>
      <c r="G53">
        <v>0</v>
      </c>
      <c r="H53">
        <v>0</v>
      </c>
    </row>
    <row r="54" spans="2:8" x14ac:dyDescent="0.25">
      <c r="B54" s="5">
        <v>18</v>
      </c>
      <c r="E54">
        <v>50</v>
      </c>
      <c r="F54">
        <f t="shared" si="6"/>
        <v>50</v>
      </c>
      <c r="G54">
        <v>50</v>
      </c>
      <c r="H54">
        <v>50</v>
      </c>
    </row>
    <row r="55" spans="2:8" x14ac:dyDescent="0.25">
      <c r="B55" s="5">
        <v>19</v>
      </c>
      <c r="E55">
        <v>0</v>
      </c>
      <c r="F55">
        <f t="shared" si="6"/>
        <v>0</v>
      </c>
      <c r="G55">
        <v>0</v>
      </c>
      <c r="H55">
        <v>0</v>
      </c>
    </row>
    <row r="56" spans="2:8" x14ac:dyDescent="0.25">
      <c r="B56" s="5">
        <v>20</v>
      </c>
      <c r="E56">
        <v>0</v>
      </c>
      <c r="F56">
        <f t="shared" si="6"/>
        <v>0</v>
      </c>
      <c r="G56">
        <v>0</v>
      </c>
      <c r="H56">
        <v>0</v>
      </c>
    </row>
    <row r="57" spans="2:8" x14ac:dyDescent="0.25">
      <c r="B57" s="5">
        <v>21</v>
      </c>
      <c r="E57">
        <v>0</v>
      </c>
      <c r="F57">
        <f t="shared" si="6"/>
        <v>0</v>
      </c>
      <c r="G57">
        <v>0</v>
      </c>
      <c r="H57">
        <v>0</v>
      </c>
    </row>
    <row r="58" spans="2:8" x14ac:dyDescent="0.25">
      <c r="B58" s="5">
        <v>22</v>
      </c>
      <c r="E58">
        <v>0</v>
      </c>
      <c r="F58">
        <f t="shared" si="6"/>
        <v>0</v>
      </c>
      <c r="G58">
        <v>0</v>
      </c>
      <c r="H58">
        <v>0</v>
      </c>
    </row>
    <row r="59" spans="2:8" x14ac:dyDescent="0.25">
      <c r="B59" s="5">
        <v>23</v>
      </c>
      <c r="E59">
        <v>0</v>
      </c>
      <c r="F59">
        <f t="shared" si="6"/>
        <v>0</v>
      </c>
      <c r="G59">
        <v>0</v>
      </c>
      <c r="H59">
        <v>0</v>
      </c>
    </row>
    <row r="60" spans="2:8" x14ac:dyDescent="0.25">
      <c r="B60" s="5">
        <v>24</v>
      </c>
      <c r="E60">
        <v>0</v>
      </c>
      <c r="F60">
        <f t="shared" si="6"/>
        <v>0</v>
      </c>
      <c r="G60">
        <v>0</v>
      </c>
      <c r="H60">
        <v>0</v>
      </c>
    </row>
    <row r="61" spans="2:8" x14ac:dyDescent="0.25">
      <c r="B61" s="5">
        <v>25</v>
      </c>
      <c r="E61">
        <v>10</v>
      </c>
      <c r="F61" s="32">
        <f t="shared" si="6"/>
        <v>10</v>
      </c>
      <c r="G61" s="99">
        <v>1000</v>
      </c>
      <c r="H61" s="32">
        <v>0</v>
      </c>
    </row>
    <row r="62" spans="2:8" x14ac:dyDescent="0.25">
      <c r="B62" s="5" t="s">
        <v>1</v>
      </c>
      <c r="C62" s="97">
        <f>IRR(C36:C61)</f>
        <v>0.67765069880406004</v>
      </c>
      <c r="D62" s="97">
        <f>IRR(D36:D61)</f>
        <v>0.11479780584661747</v>
      </c>
      <c r="E62" s="97">
        <f>IRR(E36:E61)</f>
        <v>-7.5926619649617555E-2</v>
      </c>
      <c r="F62" s="97">
        <f>IRR(F36:F61)</f>
        <v>0.46768486047642277</v>
      </c>
      <c r="G62" s="97">
        <f>IRR(G36:G61)</f>
        <v>0.46870153580019958</v>
      </c>
      <c r="H62" s="97">
        <f>IRR(H36:H61)</f>
        <v>0.46767442115367874</v>
      </c>
    </row>
    <row r="63" spans="2:8" x14ac:dyDescent="0.25">
      <c r="B63" s="5" t="s">
        <v>52</v>
      </c>
      <c r="C63">
        <f>SUMIF(C36:C61,"&gt;0")/-SUMIF(C36:C61,"&lt;0")</f>
        <v>2</v>
      </c>
      <c r="D63">
        <f>SUMIF(D36:D61,"&gt;0")/-SUMIF(D36:D61,"&lt;0")</f>
        <v>2</v>
      </c>
      <c r="E63">
        <f>SUMIF(E36:E61,"&gt;0")/-SUMIF(E36:E61,"&lt;0")</f>
        <v>0.6</v>
      </c>
      <c r="F63" s="3">
        <f>SUMIF(F36:F61,"&gt;0")/-SUMIF(F36:F61,"&lt;0")</f>
        <v>1.5333333333333334</v>
      </c>
      <c r="G63" s="3">
        <f>SUMIF(G36:G61,"&gt;0")/-SUMIF(G36:G61,"&lt;0")</f>
        <v>4.833333333333333</v>
      </c>
      <c r="H63" s="3">
        <f>SUMIF(H36:H61,"&gt;0")/-SUMIF(H36:H61,"&lt;0")</f>
        <v>1.5</v>
      </c>
    </row>
    <row r="65" spans="2:5" x14ac:dyDescent="0.25">
      <c r="B65" t="s">
        <v>141</v>
      </c>
    </row>
    <row r="67" spans="2:5" x14ac:dyDescent="0.25">
      <c r="B67" t="s">
        <v>83</v>
      </c>
      <c r="C67" t="s">
        <v>142</v>
      </c>
      <c r="D67" t="s">
        <v>143</v>
      </c>
      <c r="E67" t="s">
        <v>144</v>
      </c>
    </row>
    <row r="68" spans="2:5" x14ac:dyDescent="0.25">
      <c r="B68">
        <v>0</v>
      </c>
      <c r="C68">
        <v>-100</v>
      </c>
      <c r="D68">
        <v>-100</v>
      </c>
      <c r="E68">
        <v>-100</v>
      </c>
    </row>
    <row r="69" spans="2:5" x14ac:dyDescent="0.25">
      <c r="B69">
        <v>1</v>
      </c>
      <c r="C69">
        <v>150</v>
      </c>
      <c r="D69">
        <v>0</v>
      </c>
      <c r="E69">
        <v>100</v>
      </c>
    </row>
    <row r="70" spans="2:5" x14ac:dyDescent="0.25">
      <c r="B70">
        <v>2</v>
      </c>
      <c r="C70">
        <v>0</v>
      </c>
      <c r="D70">
        <v>0</v>
      </c>
      <c r="E70">
        <v>0</v>
      </c>
    </row>
    <row r="71" spans="2:5" x14ac:dyDescent="0.25">
      <c r="B71">
        <v>3</v>
      </c>
      <c r="C71">
        <v>0</v>
      </c>
      <c r="D71">
        <v>0</v>
      </c>
      <c r="E71">
        <v>0</v>
      </c>
    </row>
    <row r="72" spans="2:5" x14ac:dyDescent="0.25">
      <c r="B72">
        <v>4</v>
      </c>
      <c r="C72">
        <v>0</v>
      </c>
      <c r="D72">
        <v>0</v>
      </c>
      <c r="E72">
        <v>0</v>
      </c>
    </row>
    <row r="73" spans="2:5" x14ac:dyDescent="0.25">
      <c r="B73">
        <v>5</v>
      </c>
      <c r="C73">
        <v>0</v>
      </c>
      <c r="D73">
        <f>150*1.2^4</f>
        <v>311.03999999999996</v>
      </c>
      <c r="E73" s="3">
        <f>50*1.1^4</f>
        <v>73.205000000000027</v>
      </c>
    </row>
    <row r="74" spans="2:5" x14ac:dyDescent="0.25">
      <c r="B74" t="s">
        <v>1</v>
      </c>
      <c r="C74" s="97">
        <f>IRR(C68:C73)</f>
        <v>0.5</v>
      </c>
      <c r="D74" s="97">
        <f>IRR(D68:D73)</f>
        <v>0.25476746310943299</v>
      </c>
      <c r="E74" s="97">
        <f>IRR(E68:E73)</f>
        <v>0.27607802025067185</v>
      </c>
    </row>
    <row r="75" spans="2:5" x14ac:dyDescent="0.25">
      <c r="B75" t="s">
        <v>12</v>
      </c>
      <c r="C75">
        <v>33.93</v>
      </c>
      <c r="D75">
        <v>76.489999999999995</v>
      </c>
      <c r="E75">
        <v>30.82</v>
      </c>
    </row>
    <row r="76" spans="2:5" x14ac:dyDescent="0.25">
      <c r="B76" t="s">
        <v>17</v>
      </c>
      <c r="C76" s="2">
        <v>0.19</v>
      </c>
      <c r="D76" s="2">
        <v>0.25</v>
      </c>
      <c r="E76" s="2">
        <v>0.18</v>
      </c>
    </row>
    <row r="77" spans="2:5" x14ac:dyDescent="0.25">
      <c r="B77" t="s">
        <v>131</v>
      </c>
      <c r="C77" s="2">
        <v>0.5</v>
      </c>
      <c r="D77" s="2">
        <v>0.25</v>
      </c>
      <c r="E77" s="2">
        <v>0.18</v>
      </c>
    </row>
    <row r="79" spans="2:5" x14ac:dyDescent="0.25">
      <c r="C79" s="33">
        <f>NPV(10%,C68:C73)</f>
        <v>33.057851239669404</v>
      </c>
      <c r="D79" s="33">
        <f>NPV(10%,D68:D73)</f>
        <v>84.66488029483591</v>
      </c>
    </row>
    <row r="110" spans="2:6" x14ac:dyDescent="0.25">
      <c r="B110" t="s">
        <v>148</v>
      </c>
    </row>
    <row r="111" spans="2:6" x14ac:dyDescent="0.25">
      <c r="B111" t="s">
        <v>83</v>
      </c>
      <c r="C111" t="s">
        <v>149</v>
      </c>
      <c r="D111" t="s">
        <v>86</v>
      </c>
      <c r="E111" t="s">
        <v>18</v>
      </c>
      <c r="F111" t="s">
        <v>19</v>
      </c>
    </row>
    <row r="112" spans="2:6" x14ac:dyDescent="0.25">
      <c r="B112">
        <v>0</v>
      </c>
      <c r="C112">
        <v>-100</v>
      </c>
      <c r="D112">
        <v>-150</v>
      </c>
      <c r="E112">
        <v>-189</v>
      </c>
      <c r="F112">
        <v>-195</v>
      </c>
    </row>
    <row r="113" spans="2:6" x14ac:dyDescent="0.25">
      <c r="B113">
        <v>1</v>
      </c>
      <c r="C113">
        <v>-100</v>
      </c>
      <c r="D113">
        <v>0</v>
      </c>
      <c r="E113">
        <v>0</v>
      </c>
      <c r="F113">
        <v>0</v>
      </c>
    </row>
    <row r="114" spans="2:6" x14ac:dyDescent="0.25">
      <c r="B114">
        <v>2</v>
      </c>
      <c r="C114">
        <v>600</v>
      </c>
      <c r="D114">
        <v>600</v>
      </c>
      <c r="E114">
        <v>600</v>
      </c>
      <c r="F114">
        <v>600</v>
      </c>
    </row>
    <row r="115" spans="2:6" x14ac:dyDescent="0.25">
      <c r="B115" t="s">
        <v>1</v>
      </c>
      <c r="C115" s="2">
        <v>1</v>
      </c>
      <c r="D115" s="2">
        <v>1</v>
      </c>
      <c r="E115" s="2">
        <v>0.78</v>
      </c>
      <c r="F115" s="2">
        <v>0.75</v>
      </c>
    </row>
    <row r="116" spans="2:6" x14ac:dyDescent="0.25">
      <c r="B116" t="s">
        <v>17</v>
      </c>
      <c r="C116" s="2">
        <v>0.78</v>
      </c>
      <c r="D116" s="2">
        <v>1</v>
      </c>
      <c r="E116" s="2">
        <v>0.78</v>
      </c>
      <c r="F116" s="2">
        <v>0.75</v>
      </c>
    </row>
    <row r="117" spans="2:6" x14ac:dyDescent="0.25">
      <c r="B117" t="s">
        <v>12</v>
      </c>
      <c r="C117">
        <v>289</v>
      </c>
      <c r="D117">
        <v>328</v>
      </c>
      <c r="E117">
        <v>289</v>
      </c>
      <c r="F117">
        <v>283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35"/>
  <sheetViews>
    <sheetView topLeftCell="A19" zoomScale="130" zoomScaleNormal="130" workbookViewId="0">
      <selection activeCell="C43" sqref="C43"/>
    </sheetView>
  </sheetViews>
  <sheetFormatPr defaultRowHeight="15" x14ac:dyDescent="0.25"/>
  <cols>
    <col min="6" max="6" width="9" customWidth="1"/>
    <col min="7" max="7" width="8.5703125" customWidth="1"/>
    <col min="11" max="11" width="8.140625" customWidth="1"/>
  </cols>
  <sheetData>
    <row r="2" spans="2:20" x14ac:dyDescent="0.25">
      <c r="B2" t="s">
        <v>133</v>
      </c>
    </row>
    <row r="4" spans="2:20" x14ac:dyDescent="0.25">
      <c r="C4" s="38" t="s">
        <v>150</v>
      </c>
      <c r="K4" t="s">
        <v>151</v>
      </c>
    </row>
    <row r="5" spans="2:20" x14ac:dyDescent="0.25">
      <c r="B5" t="s">
        <v>139</v>
      </c>
    </row>
    <row r="7" spans="2:20" x14ac:dyDescent="0.25">
      <c r="B7" s="8"/>
      <c r="C7" s="103" t="s">
        <v>84</v>
      </c>
      <c r="D7" s="103"/>
      <c r="E7" s="103"/>
      <c r="F7" s="103"/>
      <c r="G7" s="8"/>
      <c r="H7" s="7" t="s">
        <v>127</v>
      </c>
      <c r="I7" s="7" t="s">
        <v>145</v>
      </c>
      <c r="K7" t="s">
        <v>147</v>
      </c>
      <c r="Q7" s="5" t="s">
        <v>128</v>
      </c>
      <c r="R7" s="5" t="s">
        <v>128</v>
      </c>
      <c r="S7" s="5" t="s">
        <v>128</v>
      </c>
      <c r="T7" s="5" t="s">
        <v>128</v>
      </c>
    </row>
    <row r="8" spans="2:20" x14ac:dyDescent="0.25">
      <c r="B8" s="9" t="s">
        <v>83</v>
      </c>
      <c r="C8" s="9" t="s">
        <v>124</v>
      </c>
      <c r="D8" s="9" t="s">
        <v>125</v>
      </c>
      <c r="E8" s="9" t="s">
        <v>125</v>
      </c>
      <c r="F8" s="9" t="s">
        <v>126</v>
      </c>
      <c r="G8" s="9"/>
      <c r="H8" s="9" t="s">
        <v>128</v>
      </c>
      <c r="I8" s="9" t="s">
        <v>128</v>
      </c>
      <c r="K8" s="5" t="s">
        <v>124</v>
      </c>
      <c r="L8" s="5" t="s">
        <v>124</v>
      </c>
      <c r="M8" s="5" t="s">
        <v>125</v>
      </c>
      <c r="N8" s="5" t="s">
        <v>125</v>
      </c>
      <c r="O8" s="5" t="s">
        <v>126</v>
      </c>
      <c r="P8" s="5" t="s">
        <v>126</v>
      </c>
      <c r="Q8" s="5" t="s">
        <v>129</v>
      </c>
      <c r="R8" s="5" t="s">
        <v>129</v>
      </c>
      <c r="S8" s="5" t="s">
        <v>130</v>
      </c>
      <c r="T8" s="5" t="s">
        <v>130</v>
      </c>
    </row>
    <row r="9" spans="2:20" x14ac:dyDescent="0.25">
      <c r="B9" s="11"/>
      <c r="C9" s="11"/>
      <c r="D9" s="11"/>
      <c r="E9" s="11"/>
      <c r="F9" s="11"/>
      <c r="G9" s="11"/>
      <c r="H9" s="11" t="s">
        <v>129</v>
      </c>
      <c r="I9" s="11" t="s">
        <v>130</v>
      </c>
      <c r="K9" t="s">
        <v>146</v>
      </c>
      <c r="L9" t="s">
        <v>146</v>
      </c>
      <c r="M9" t="s">
        <v>146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</row>
    <row r="10" spans="2:20" x14ac:dyDescent="0.25">
      <c r="B10" s="5">
        <v>0</v>
      </c>
      <c r="C10">
        <v>-100</v>
      </c>
      <c r="D10">
        <v>-100</v>
      </c>
      <c r="E10">
        <v>-100</v>
      </c>
      <c r="F10">
        <v>-100</v>
      </c>
      <c r="H10">
        <f>SUM(C10:F10)</f>
        <v>-400</v>
      </c>
      <c r="I10">
        <v>-416</v>
      </c>
      <c r="K10">
        <f>C10</f>
        <v>-100</v>
      </c>
      <c r="L10">
        <f>C10</f>
        <v>-100</v>
      </c>
      <c r="M10">
        <f>D10</f>
        <v>-100</v>
      </c>
      <c r="N10">
        <f>D10</f>
        <v>-100</v>
      </c>
      <c r="O10">
        <f>F10</f>
        <v>-100</v>
      </c>
      <c r="P10">
        <f>F10</f>
        <v>-100</v>
      </c>
      <c r="Q10">
        <f>H10</f>
        <v>-400</v>
      </c>
      <c r="R10">
        <f>Q10</f>
        <v>-400</v>
      </c>
      <c r="S10">
        <f>I10</f>
        <v>-416</v>
      </c>
      <c r="T10">
        <f>S10</f>
        <v>-416</v>
      </c>
    </row>
    <row r="11" spans="2:20" x14ac:dyDescent="0.25">
      <c r="B11" s="5">
        <v>1</v>
      </c>
      <c r="C11">
        <v>150</v>
      </c>
      <c r="D11">
        <v>0</v>
      </c>
      <c r="E11">
        <v>0</v>
      </c>
      <c r="F11">
        <v>0</v>
      </c>
      <c r="H11">
        <f>SUM(C11:F11)</f>
        <v>150</v>
      </c>
      <c r="I11">
        <v>134</v>
      </c>
      <c r="K11">
        <f>C11*1.12^($B$22-$B11)</f>
        <v>521.78249900182755</v>
      </c>
      <c r="L11">
        <v>0</v>
      </c>
      <c r="M11">
        <f>D11*1.12^($B$22-$B11)</f>
        <v>0</v>
      </c>
      <c r="N11">
        <v>0</v>
      </c>
      <c r="O11">
        <f>F11*1.12^($B$22-$B11)</f>
        <v>0</v>
      </c>
      <c r="P11">
        <v>0</v>
      </c>
      <c r="Q11">
        <f>H11*1.12^($B$22-$B11)</f>
        <v>521.78249900182755</v>
      </c>
      <c r="R11">
        <v>0</v>
      </c>
      <c r="S11">
        <f>I11*1.12^($B$22-$B11)</f>
        <v>466.12569910829927</v>
      </c>
      <c r="T11">
        <v>0</v>
      </c>
    </row>
    <row r="12" spans="2:20" x14ac:dyDescent="0.25">
      <c r="B12" s="5">
        <v>2</v>
      </c>
      <c r="C12">
        <v>0</v>
      </c>
      <c r="D12">
        <v>0</v>
      </c>
      <c r="E12">
        <v>0</v>
      </c>
      <c r="F12">
        <v>0</v>
      </c>
      <c r="H12">
        <f>SUM(C12:F12)</f>
        <v>0</v>
      </c>
      <c r="I12">
        <v>-16</v>
      </c>
      <c r="K12">
        <f>C12*1.12^($B$22-B12)</f>
        <v>0</v>
      </c>
      <c r="L12">
        <f>C12*(1+8%)^($B$22-B12)</f>
        <v>0</v>
      </c>
      <c r="M12">
        <f>D12*1.12^($B$22-$B12)</f>
        <v>0</v>
      </c>
      <c r="N12">
        <v>0</v>
      </c>
      <c r="O12">
        <f>F12*1.12^($B$22-$B12)</f>
        <v>0</v>
      </c>
      <c r="P12">
        <v>0</v>
      </c>
      <c r="Q12">
        <f t="shared" ref="Q12:Q22" si="0">H12*1.12^($B$22-$B12)</f>
        <v>0</v>
      </c>
      <c r="R12">
        <v>0</v>
      </c>
      <c r="S12">
        <f t="shared" ref="S12:S22" si="1">I12*1.12^($B$22-$B12)</f>
        <v>-49.693571333507379</v>
      </c>
      <c r="T12">
        <v>0</v>
      </c>
    </row>
    <row r="13" spans="2:20" x14ac:dyDescent="0.25">
      <c r="B13" s="5">
        <v>3</v>
      </c>
      <c r="C13">
        <v>50</v>
      </c>
      <c r="D13">
        <v>0</v>
      </c>
      <c r="E13">
        <v>0</v>
      </c>
      <c r="F13">
        <v>0</v>
      </c>
      <c r="H13">
        <f>SUM(C13:F13)</f>
        <v>50</v>
      </c>
      <c r="I13">
        <v>34</v>
      </c>
      <c r="K13">
        <f>C13*1.12^($B$22-B13)</f>
        <v>138.6539378725094</v>
      </c>
      <c r="L13">
        <v>0</v>
      </c>
      <c r="M13">
        <f>D13*1.12^($B$22-$B13)</f>
        <v>0</v>
      </c>
      <c r="N13">
        <v>0</v>
      </c>
      <c r="O13">
        <f>F13*1.12^($B$22-$B13)</f>
        <v>0</v>
      </c>
      <c r="P13">
        <v>0</v>
      </c>
      <c r="Q13">
        <f t="shared" si="0"/>
        <v>138.6539378725094</v>
      </c>
      <c r="R13">
        <v>0</v>
      </c>
      <c r="S13">
        <f t="shared" si="1"/>
        <v>94.284677753306397</v>
      </c>
      <c r="T13">
        <v>0</v>
      </c>
    </row>
    <row r="14" spans="2:20" x14ac:dyDescent="0.25">
      <c r="B14" s="5">
        <v>4</v>
      </c>
      <c r="C14">
        <v>0</v>
      </c>
      <c r="D14">
        <v>0</v>
      </c>
      <c r="E14">
        <v>0</v>
      </c>
      <c r="F14">
        <v>0</v>
      </c>
      <c r="H14">
        <f>SUM(C14:F14)</f>
        <v>0</v>
      </c>
      <c r="I14">
        <v>-12</v>
      </c>
      <c r="K14">
        <f t="shared" ref="K14:K22" si="2">C14*1.12^($B$22-B14)</f>
        <v>0</v>
      </c>
      <c r="L14">
        <f>C14*(1+8%)^($B$22-B14)</f>
        <v>0</v>
      </c>
      <c r="M14">
        <f>D14*1.12^($B$22-$B14)</f>
        <v>0</v>
      </c>
      <c r="N14">
        <v>0</v>
      </c>
      <c r="O14">
        <f>F14*1.12^($B$22-$B14)</f>
        <v>0</v>
      </c>
      <c r="P14">
        <v>0</v>
      </c>
      <c r="Q14">
        <f t="shared" si="0"/>
        <v>0</v>
      </c>
      <c r="R14">
        <v>0</v>
      </c>
      <c r="S14">
        <f t="shared" si="1"/>
        <v>-29.711558115537731</v>
      </c>
      <c r="T14">
        <v>0</v>
      </c>
    </row>
    <row r="15" spans="2:20" x14ac:dyDescent="0.25">
      <c r="B15" s="5">
        <v>5</v>
      </c>
      <c r="C15">
        <v>0</v>
      </c>
      <c r="D15">
        <v>100</v>
      </c>
      <c r="E15">
        <v>100</v>
      </c>
      <c r="F15">
        <v>50</v>
      </c>
      <c r="H15">
        <f>SUM(C15:F15)</f>
        <v>250</v>
      </c>
      <c r="I15">
        <v>238</v>
      </c>
      <c r="K15">
        <f t="shared" si="2"/>
        <v>0</v>
      </c>
      <c r="L15">
        <f>C15*(1+8%)^($B$22-B15)</f>
        <v>0</v>
      </c>
      <c r="M15">
        <f>D15*1.12^($B$22-$B15)</f>
        <v>221.0681407406081</v>
      </c>
      <c r="N15">
        <v>0</v>
      </c>
      <c r="O15">
        <f>F15*1.12^($B$22-$B15)</f>
        <v>110.53407037030405</v>
      </c>
      <c r="P15">
        <v>0</v>
      </c>
      <c r="Q15">
        <f t="shared" si="0"/>
        <v>552.67035185152019</v>
      </c>
      <c r="R15">
        <v>0</v>
      </c>
      <c r="S15">
        <f t="shared" si="1"/>
        <v>526.14217496264723</v>
      </c>
      <c r="T15">
        <v>0</v>
      </c>
    </row>
    <row r="16" spans="2:20" x14ac:dyDescent="0.25">
      <c r="B16" s="5">
        <v>6</v>
      </c>
      <c r="C16">
        <v>0</v>
      </c>
      <c r="D16">
        <v>0</v>
      </c>
      <c r="E16">
        <v>0</v>
      </c>
      <c r="F16">
        <v>0</v>
      </c>
      <c r="H16">
        <f>SUM(C16:F16)</f>
        <v>0</v>
      </c>
      <c r="I16">
        <v>-12</v>
      </c>
      <c r="K16">
        <f t="shared" si="2"/>
        <v>0</v>
      </c>
      <c r="L16">
        <f>C16*(1+8%)^($B$22-B16)</f>
        <v>0</v>
      </c>
      <c r="M16">
        <f>D16*1.12^($B$22-$B16)</f>
        <v>0</v>
      </c>
      <c r="N16">
        <v>0</v>
      </c>
      <c r="O16">
        <f>F16*1.12^($B$22-$B16)</f>
        <v>0</v>
      </c>
      <c r="P16">
        <v>0</v>
      </c>
      <c r="Q16">
        <f t="shared" si="0"/>
        <v>0</v>
      </c>
      <c r="R16">
        <v>0</v>
      </c>
      <c r="S16">
        <f t="shared" si="1"/>
        <v>-23.685872222208012</v>
      </c>
      <c r="T16">
        <v>0</v>
      </c>
    </row>
    <row r="17" spans="2:20" x14ac:dyDescent="0.25">
      <c r="B17" s="5">
        <v>7</v>
      </c>
      <c r="C17">
        <v>0</v>
      </c>
      <c r="D17">
        <v>0</v>
      </c>
      <c r="E17">
        <v>0</v>
      </c>
      <c r="F17">
        <v>0</v>
      </c>
      <c r="H17">
        <f>SUM(C17:F17)</f>
        <v>0</v>
      </c>
      <c r="I17">
        <v>-12</v>
      </c>
      <c r="K17">
        <f t="shared" si="2"/>
        <v>0</v>
      </c>
      <c r="L17">
        <f>C17*(1+8%)^($B$22-B17)</f>
        <v>0</v>
      </c>
      <c r="M17">
        <f>D17*1.12^($B$22-$B17)</f>
        <v>0</v>
      </c>
      <c r="N17">
        <v>0</v>
      </c>
      <c r="O17">
        <f>F17*1.12^($B$22-$B17)</f>
        <v>0</v>
      </c>
      <c r="P17">
        <v>0</v>
      </c>
      <c r="Q17">
        <f t="shared" si="0"/>
        <v>0</v>
      </c>
      <c r="R17">
        <v>0</v>
      </c>
      <c r="S17">
        <f t="shared" si="1"/>
        <v>-21.148100198400005</v>
      </c>
      <c r="T17">
        <v>0</v>
      </c>
    </row>
    <row r="18" spans="2:20" x14ac:dyDescent="0.25">
      <c r="B18" s="5">
        <v>8</v>
      </c>
      <c r="C18">
        <v>0</v>
      </c>
      <c r="D18">
        <v>100</v>
      </c>
      <c r="E18">
        <v>100</v>
      </c>
      <c r="F18">
        <v>0</v>
      </c>
      <c r="H18">
        <f>SUM(C18:F18)</f>
        <v>200</v>
      </c>
      <c r="I18">
        <v>188</v>
      </c>
      <c r="K18">
        <f t="shared" si="2"/>
        <v>0</v>
      </c>
      <c r="L18">
        <f>C18*(1+8%)^($B$22-B18)</f>
        <v>0</v>
      </c>
      <c r="M18">
        <f t="shared" ref="M18:M22" si="3">D18*1.12^($B$22-$B18)</f>
        <v>157.35193600000002</v>
      </c>
      <c r="N18">
        <v>0</v>
      </c>
      <c r="O18">
        <f>F18*1.12^($B$22-$B18)</f>
        <v>0</v>
      </c>
      <c r="P18">
        <v>0</v>
      </c>
      <c r="Q18">
        <f t="shared" si="0"/>
        <v>314.70387200000005</v>
      </c>
      <c r="R18">
        <v>0</v>
      </c>
      <c r="S18">
        <f t="shared" si="1"/>
        <v>295.82163968000009</v>
      </c>
      <c r="T18">
        <v>0</v>
      </c>
    </row>
    <row r="19" spans="2:20" x14ac:dyDescent="0.25">
      <c r="B19" s="5">
        <v>9</v>
      </c>
      <c r="C19">
        <v>0</v>
      </c>
      <c r="D19">
        <v>0</v>
      </c>
      <c r="E19">
        <v>0</v>
      </c>
      <c r="F19">
        <v>0</v>
      </c>
      <c r="H19">
        <f>SUM(C19:F19)</f>
        <v>0</v>
      </c>
      <c r="I19">
        <v>-4</v>
      </c>
      <c r="K19">
        <f t="shared" si="2"/>
        <v>0</v>
      </c>
      <c r="L19">
        <f>C19*(1+8%)^($B$22-B19)</f>
        <v>0</v>
      </c>
      <c r="M19">
        <f t="shared" si="3"/>
        <v>0</v>
      </c>
      <c r="N19">
        <v>0</v>
      </c>
      <c r="O19">
        <f>F19*1.12^($B$22-$B19)</f>
        <v>0</v>
      </c>
      <c r="P19">
        <v>0</v>
      </c>
      <c r="Q19">
        <f t="shared" si="0"/>
        <v>0</v>
      </c>
      <c r="R19">
        <v>0</v>
      </c>
      <c r="S19">
        <f t="shared" si="1"/>
        <v>-5.6197120000000016</v>
      </c>
      <c r="T19">
        <v>0</v>
      </c>
    </row>
    <row r="20" spans="2:20" x14ac:dyDescent="0.25">
      <c r="B20" s="5">
        <v>10</v>
      </c>
      <c r="C20">
        <v>0</v>
      </c>
      <c r="D20">
        <v>0</v>
      </c>
      <c r="E20">
        <v>0</v>
      </c>
      <c r="F20">
        <v>0</v>
      </c>
      <c r="H20">
        <f>SUM(C20:F20)</f>
        <v>0</v>
      </c>
      <c r="I20">
        <v>-4</v>
      </c>
      <c r="K20">
        <f t="shared" si="2"/>
        <v>0</v>
      </c>
      <c r="L20">
        <f>C20*(1+8%)^($B$22-B20)</f>
        <v>0</v>
      </c>
      <c r="M20">
        <f t="shared" si="3"/>
        <v>0</v>
      </c>
      <c r="N20">
        <v>0</v>
      </c>
      <c r="O20">
        <f>F20*1.12^($B$22-$B20)</f>
        <v>0</v>
      </c>
      <c r="P20">
        <v>0</v>
      </c>
      <c r="Q20">
        <f t="shared" si="0"/>
        <v>0</v>
      </c>
      <c r="R20">
        <v>0</v>
      </c>
      <c r="S20">
        <f t="shared" si="1"/>
        <v>-5.0176000000000007</v>
      </c>
      <c r="T20">
        <v>0</v>
      </c>
    </row>
    <row r="21" spans="2:20" x14ac:dyDescent="0.25">
      <c r="B21" s="5">
        <v>11</v>
      </c>
      <c r="C21">
        <v>0</v>
      </c>
      <c r="D21">
        <v>0</v>
      </c>
      <c r="E21">
        <v>0</v>
      </c>
      <c r="F21">
        <v>0</v>
      </c>
      <c r="H21">
        <f>SUM(C21:F21)</f>
        <v>0</v>
      </c>
      <c r="I21">
        <v>-4</v>
      </c>
      <c r="K21">
        <f t="shared" si="2"/>
        <v>0</v>
      </c>
      <c r="L21">
        <f>C21*(1+8%)^($B$22-B21)</f>
        <v>0</v>
      </c>
      <c r="M21">
        <f t="shared" si="3"/>
        <v>0</v>
      </c>
      <c r="N21">
        <v>0</v>
      </c>
      <c r="O21">
        <f>F21*1.12^($B$22-$B21)</f>
        <v>0</v>
      </c>
      <c r="P21">
        <v>0</v>
      </c>
      <c r="Q21">
        <f t="shared" si="0"/>
        <v>0</v>
      </c>
      <c r="R21">
        <v>0</v>
      </c>
      <c r="S21">
        <f t="shared" si="1"/>
        <v>-4.4800000000000004</v>
      </c>
      <c r="T21">
        <v>0</v>
      </c>
    </row>
    <row r="22" spans="2:20" x14ac:dyDescent="0.25">
      <c r="B22" s="11">
        <v>12</v>
      </c>
      <c r="C22" s="12">
        <v>0</v>
      </c>
      <c r="D22" s="12">
        <v>0</v>
      </c>
      <c r="E22" s="12">
        <v>0</v>
      </c>
      <c r="F22" s="12">
        <v>10</v>
      </c>
      <c r="G22" s="12"/>
      <c r="H22" s="12">
        <f>SUM(C22:F22)</f>
        <v>10</v>
      </c>
      <c r="I22" s="12">
        <v>6</v>
      </c>
      <c r="K22">
        <f t="shared" si="2"/>
        <v>0</v>
      </c>
      <c r="L22">
        <f>SUM(K11:K22)</f>
        <v>660.43643687433701</v>
      </c>
      <c r="M22">
        <f t="shared" si="3"/>
        <v>0</v>
      </c>
      <c r="N22">
        <f>SUM(M11:M22)</f>
        <v>378.42007674060812</v>
      </c>
      <c r="O22">
        <f>F22*1.12^($B$22-$B22)</f>
        <v>10</v>
      </c>
      <c r="P22">
        <f>SUM(O11:O22)</f>
        <v>120.53407037030405</v>
      </c>
      <c r="Q22">
        <f t="shared" si="0"/>
        <v>10</v>
      </c>
      <c r="R22">
        <f>SUM(Q11:Q22)</f>
        <v>1537.8106607258574</v>
      </c>
      <c r="S22">
        <f t="shared" si="1"/>
        <v>6</v>
      </c>
      <c r="T22">
        <f>SUM(S11:S22)</f>
        <v>1249.0177776346</v>
      </c>
    </row>
    <row r="23" spans="2:20" x14ac:dyDescent="0.25">
      <c r="B23" t="s">
        <v>1</v>
      </c>
      <c r="C23" s="97">
        <f>IRR(C10:C22)</f>
        <v>0.67765069880406004</v>
      </c>
      <c r="D23" s="97">
        <f>IRR(D10:D22)</f>
        <v>0.11479780584661747</v>
      </c>
      <c r="E23" s="97">
        <f>IRR(E10:E22)</f>
        <v>0.11479780584661747</v>
      </c>
      <c r="F23" s="97">
        <f>IRR(F10:F22)</f>
        <v>-7.5926619649617555E-2</v>
      </c>
      <c r="G23" s="97"/>
      <c r="H23" s="97">
        <f>IRR(H10:H22)</f>
        <v>0.11640373071186993</v>
      </c>
      <c r="I23" s="97">
        <f>IRR(I10:I22)</f>
        <v>5.4822831913592163E-2</v>
      </c>
      <c r="L23" s="97"/>
    </row>
    <row r="24" spans="2:20" x14ac:dyDescent="0.25">
      <c r="B24" t="s">
        <v>17</v>
      </c>
      <c r="C24" s="97">
        <f>IRR(L10:L22)</f>
        <v>0.17035941218376793</v>
      </c>
      <c r="D24" s="97">
        <f>IRR(N10:N22)</f>
        <v>0.11728640439026883</v>
      </c>
      <c r="E24" s="97">
        <f>IRR(N10:N22)</f>
        <v>0.11728640439026883</v>
      </c>
      <c r="F24" s="97">
        <f>IRR(P10:P22)</f>
        <v>1.5685264755789019E-2</v>
      </c>
      <c r="G24" s="97"/>
      <c r="H24" s="97">
        <f>IRR(R10:R22)</f>
        <v>0.11875993833256593</v>
      </c>
      <c r="I24" s="97">
        <f>IRR(T10:T22)</f>
        <v>9.5947139454643393E-2</v>
      </c>
    </row>
    <row r="25" spans="2:20" x14ac:dyDescent="0.25">
      <c r="B25" t="s">
        <v>52</v>
      </c>
      <c r="C25" s="100">
        <f>SUMIF(C10:C22,"&gt;0")/-SUMIF(C10:C22,"&lt;0")</f>
        <v>2</v>
      </c>
      <c r="D25" s="100">
        <f>SUMIF(D10:D22,"&gt;0")/-SUMIF(D10:D22,"&lt;0")</f>
        <v>2</v>
      </c>
      <c r="E25" s="100">
        <f>SUMIF(E10:E22,"&gt;0")/-SUMIF(E10:E22,"&lt;0")</f>
        <v>2</v>
      </c>
      <c r="F25" s="100">
        <f>SUMIF(F10:F22,"&gt;0")/-SUMIF(F10:F22,"&lt;0")</f>
        <v>0.6</v>
      </c>
      <c r="G25" s="100"/>
      <c r="H25" s="100">
        <f>SUMIF(H10:H22,"&gt;0")/-SUMIF(H10:H22,"&lt;0")</f>
        <v>1.65</v>
      </c>
      <c r="I25" s="100">
        <f>SUMIF(I10:I22,"&gt;0")/-SUMIF(I10:I22,"&lt;0")</f>
        <v>1.25</v>
      </c>
    </row>
    <row r="26" spans="2:20" x14ac:dyDescent="0.25">
      <c r="C26" s="2"/>
    </row>
    <row r="28" spans="2:20" x14ac:dyDescent="0.25">
      <c r="B28" s="8"/>
      <c r="C28" s="103" t="s">
        <v>84</v>
      </c>
      <c r="D28" s="103"/>
      <c r="E28" s="103"/>
      <c r="F28" s="103"/>
      <c r="G28" s="7" t="s">
        <v>127</v>
      </c>
      <c r="I28" s="7"/>
      <c r="K28" t="s">
        <v>147</v>
      </c>
      <c r="Q28" s="5" t="s">
        <v>128</v>
      </c>
      <c r="R28" s="5" t="s">
        <v>128</v>
      </c>
      <c r="S28" s="5"/>
      <c r="T28" s="5"/>
    </row>
    <row r="29" spans="2:20" x14ac:dyDescent="0.25">
      <c r="B29" s="9" t="s">
        <v>83</v>
      </c>
      <c r="C29" s="9" t="s">
        <v>124</v>
      </c>
      <c r="D29" s="9" t="s">
        <v>134</v>
      </c>
      <c r="E29" s="9" t="s">
        <v>126</v>
      </c>
      <c r="G29" s="9" t="s">
        <v>128</v>
      </c>
      <c r="I29" s="9"/>
      <c r="K29" s="5" t="s">
        <v>124</v>
      </c>
      <c r="L29" s="5" t="s">
        <v>124</v>
      </c>
      <c r="M29" s="5" t="s">
        <v>125</v>
      </c>
      <c r="N29" s="5" t="s">
        <v>125</v>
      </c>
      <c r="O29" s="5" t="s">
        <v>126</v>
      </c>
      <c r="P29" s="5" t="s">
        <v>126</v>
      </c>
      <c r="Q29" s="5" t="s">
        <v>129</v>
      </c>
      <c r="R29" s="5" t="s">
        <v>129</v>
      </c>
      <c r="S29" s="5"/>
      <c r="T29" s="5"/>
    </row>
    <row r="30" spans="2:20" x14ac:dyDescent="0.25">
      <c r="B30" s="11"/>
      <c r="C30" s="11"/>
      <c r="D30" s="11"/>
      <c r="E30" s="11"/>
      <c r="G30" s="11" t="s">
        <v>129</v>
      </c>
      <c r="I30" s="11"/>
      <c r="K30" t="s">
        <v>146</v>
      </c>
      <c r="L30" t="s">
        <v>146</v>
      </c>
      <c r="M30" t="s">
        <v>146</v>
      </c>
      <c r="N30" t="s">
        <v>146</v>
      </c>
      <c r="O30" t="s">
        <v>146</v>
      </c>
      <c r="P30" t="s">
        <v>146</v>
      </c>
      <c r="Q30" t="s">
        <v>146</v>
      </c>
      <c r="R30" t="s">
        <v>146</v>
      </c>
    </row>
    <row r="31" spans="2:20" x14ac:dyDescent="0.25">
      <c r="B31" s="5">
        <v>0</v>
      </c>
      <c r="C31">
        <v>-100</v>
      </c>
      <c r="D31">
        <v>-100</v>
      </c>
      <c r="E31">
        <v>-100</v>
      </c>
      <c r="G31">
        <f>SUM(C31:E31)</f>
        <v>-300</v>
      </c>
      <c r="K31">
        <f>C31</f>
        <v>-100</v>
      </c>
      <c r="L31">
        <f>C31</f>
        <v>-100</v>
      </c>
      <c r="M31">
        <f>D31</f>
        <v>-100</v>
      </c>
      <c r="N31">
        <f>D31</f>
        <v>-100</v>
      </c>
      <c r="O31">
        <f>E31</f>
        <v>-100</v>
      </c>
      <c r="P31">
        <f>E31</f>
        <v>-100</v>
      </c>
      <c r="Q31">
        <f>G31</f>
        <v>-300</v>
      </c>
      <c r="R31">
        <f>Q31</f>
        <v>-300</v>
      </c>
    </row>
    <row r="32" spans="2:20" x14ac:dyDescent="0.25">
      <c r="B32" s="5">
        <v>1</v>
      </c>
      <c r="C32">
        <v>150</v>
      </c>
      <c r="D32">
        <v>0</v>
      </c>
      <c r="E32">
        <v>0</v>
      </c>
      <c r="G32">
        <f>SUM(C32:E32)</f>
        <v>150</v>
      </c>
      <c r="K32">
        <f>C32*1.12^($B$22-$B32)</f>
        <v>521.78249900182755</v>
      </c>
      <c r="L32">
        <v>0</v>
      </c>
      <c r="M32">
        <f>D32*1.12^($B$22-$B32)</f>
        <v>0</v>
      </c>
      <c r="N32">
        <v>0</v>
      </c>
      <c r="O32">
        <f>E32*1.12^($B$22-$B32)</f>
        <v>0</v>
      </c>
      <c r="P32">
        <v>0</v>
      </c>
      <c r="Q32">
        <f>G32*1.12^($B$22-$B32)</f>
        <v>521.78249900182755</v>
      </c>
      <c r="R32">
        <v>0</v>
      </c>
    </row>
    <row r="33" spans="2:18" x14ac:dyDescent="0.25">
      <c r="B33" s="5">
        <v>2</v>
      </c>
      <c r="C33">
        <v>0</v>
      </c>
      <c r="D33">
        <v>0</v>
      </c>
      <c r="E33">
        <v>0</v>
      </c>
      <c r="G33">
        <f>SUM(C33:E33)</f>
        <v>0</v>
      </c>
      <c r="K33">
        <f>C33*1.12^($B$22-B33)</f>
        <v>0</v>
      </c>
      <c r="L33">
        <f>C33*(1+8%)^($B$22-B33)</f>
        <v>0</v>
      </c>
      <c r="M33">
        <f>D33*1.12^($B$22-$B33)</f>
        <v>0</v>
      </c>
      <c r="N33">
        <v>0</v>
      </c>
      <c r="O33">
        <f>E33*1.12^($B$22-$B33)</f>
        <v>0</v>
      </c>
      <c r="P33">
        <v>0</v>
      </c>
      <c r="Q33">
        <f>G33*1.12^($B$22-$B33)</f>
        <v>0</v>
      </c>
      <c r="R33">
        <v>0</v>
      </c>
    </row>
    <row r="34" spans="2:18" x14ac:dyDescent="0.25">
      <c r="B34" s="5">
        <v>3</v>
      </c>
      <c r="C34">
        <v>50</v>
      </c>
      <c r="D34">
        <v>0</v>
      </c>
      <c r="E34">
        <v>0</v>
      </c>
      <c r="G34">
        <f>SUM(C34:E34)</f>
        <v>50</v>
      </c>
      <c r="K34">
        <f>C34*1.12^($B$22-B34)</f>
        <v>138.6539378725094</v>
      </c>
      <c r="L34">
        <v>0</v>
      </c>
      <c r="M34">
        <f>D34*1.12^($B$22-$B34)</f>
        <v>0</v>
      </c>
      <c r="N34">
        <v>0</v>
      </c>
      <c r="O34">
        <f>E34*1.12^($B$22-$B34)</f>
        <v>0</v>
      </c>
      <c r="P34">
        <v>0</v>
      </c>
      <c r="Q34">
        <f>G34*1.12^($B$22-$B34)</f>
        <v>138.6539378725094</v>
      </c>
      <c r="R34">
        <v>0</v>
      </c>
    </row>
    <row r="35" spans="2:18" x14ac:dyDescent="0.25">
      <c r="B35" s="5">
        <v>4</v>
      </c>
      <c r="C35">
        <v>0</v>
      </c>
      <c r="D35">
        <v>0</v>
      </c>
      <c r="E35">
        <v>0</v>
      </c>
      <c r="G35">
        <f>SUM(C35:E35)</f>
        <v>0</v>
      </c>
      <c r="K35">
        <f t="shared" ref="K35:K43" si="4">C35*1.12^($B$22-B35)</f>
        <v>0</v>
      </c>
      <c r="L35">
        <f>C35*(1+8%)^($B$22-B35)</f>
        <v>0</v>
      </c>
      <c r="M35">
        <f>D35*1.12^($B$22-$B35)</f>
        <v>0</v>
      </c>
      <c r="N35">
        <v>0</v>
      </c>
      <c r="O35">
        <f>E35*1.12^($B$22-$B35)</f>
        <v>0</v>
      </c>
      <c r="P35">
        <v>0</v>
      </c>
      <c r="Q35">
        <f>G35*1.12^($B$22-$B35)</f>
        <v>0</v>
      </c>
      <c r="R35">
        <v>0</v>
      </c>
    </row>
    <row r="36" spans="2:18" x14ac:dyDescent="0.25">
      <c r="B36" s="5">
        <v>5</v>
      </c>
      <c r="C36">
        <v>0</v>
      </c>
      <c r="D36">
        <v>100</v>
      </c>
      <c r="E36">
        <v>50</v>
      </c>
      <c r="G36">
        <f>SUM(C36:E36)</f>
        <v>150</v>
      </c>
      <c r="K36">
        <f t="shared" si="4"/>
        <v>0</v>
      </c>
      <c r="L36">
        <f>C36*(1+8%)^($B$22-B36)</f>
        <v>0</v>
      </c>
      <c r="M36">
        <f>D36*1.12^($B$22-$B36)</f>
        <v>221.0681407406081</v>
      </c>
      <c r="N36">
        <v>0</v>
      </c>
      <c r="O36">
        <f>E36*1.12^($B$22-$B36)</f>
        <v>110.53407037030405</v>
      </c>
      <c r="P36">
        <v>0</v>
      </c>
      <c r="Q36">
        <f>G36*1.12^($B$22-$B36)</f>
        <v>331.60221111091215</v>
      </c>
      <c r="R36">
        <v>0</v>
      </c>
    </row>
    <row r="37" spans="2:18" x14ac:dyDescent="0.25">
      <c r="B37" s="5">
        <v>6</v>
      </c>
      <c r="C37">
        <v>0</v>
      </c>
      <c r="D37">
        <v>0</v>
      </c>
      <c r="E37">
        <v>0</v>
      </c>
      <c r="G37">
        <f>SUM(C37:E37)</f>
        <v>0</v>
      </c>
      <c r="K37">
        <f t="shared" si="4"/>
        <v>0</v>
      </c>
      <c r="L37">
        <f>C37*(1+8%)^($B$22-B37)</f>
        <v>0</v>
      </c>
      <c r="M37">
        <f>D37*1.12^($B$22-$B37)</f>
        <v>0</v>
      </c>
      <c r="N37">
        <v>0</v>
      </c>
      <c r="O37">
        <f>E37*1.12^($B$22-$B37)</f>
        <v>0</v>
      </c>
      <c r="P37">
        <v>0</v>
      </c>
      <c r="Q37">
        <f>G37*1.12^($B$22-$B37)</f>
        <v>0</v>
      </c>
      <c r="R37">
        <v>0</v>
      </c>
    </row>
    <row r="38" spans="2:18" x14ac:dyDescent="0.25">
      <c r="B38" s="5">
        <v>7</v>
      </c>
      <c r="C38">
        <v>0</v>
      </c>
      <c r="D38">
        <v>0</v>
      </c>
      <c r="E38">
        <v>0</v>
      </c>
      <c r="G38">
        <f>SUM(C38:E38)</f>
        <v>0</v>
      </c>
      <c r="K38">
        <f t="shared" si="4"/>
        <v>0</v>
      </c>
      <c r="L38">
        <f>C38*(1+8%)^($B$22-B38)</f>
        <v>0</v>
      </c>
      <c r="M38">
        <f>D38*1.12^($B$22-$B38)</f>
        <v>0</v>
      </c>
      <c r="N38">
        <v>0</v>
      </c>
      <c r="O38">
        <f>E38*1.12^($B$22-$B38)</f>
        <v>0</v>
      </c>
      <c r="P38">
        <v>0</v>
      </c>
      <c r="Q38">
        <f>G38*1.12^($B$22-$B38)</f>
        <v>0</v>
      </c>
      <c r="R38">
        <v>0</v>
      </c>
    </row>
    <row r="39" spans="2:18" x14ac:dyDescent="0.25">
      <c r="B39" s="5">
        <v>8</v>
      </c>
      <c r="C39">
        <v>0</v>
      </c>
      <c r="D39">
        <v>100</v>
      </c>
      <c r="E39">
        <v>0</v>
      </c>
      <c r="G39">
        <f>SUM(C39:E39)</f>
        <v>100</v>
      </c>
      <c r="K39">
        <f t="shared" si="4"/>
        <v>0</v>
      </c>
      <c r="L39">
        <f>C39*(1+8%)^($B$22-B39)</f>
        <v>0</v>
      </c>
      <c r="M39">
        <f t="shared" ref="M39:M43" si="5">D39*1.12^($B$22-$B39)</f>
        <v>157.35193600000002</v>
      </c>
      <c r="N39">
        <v>0</v>
      </c>
      <c r="O39">
        <f>E39*1.12^($B$22-$B39)</f>
        <v>0</v>
      </c>
      <c r="P39">
        <v>0</v>
      </c>
      <c r="Q39">
        <f>G39*1.12^($B$22-$B39)</f>
        <v>157.35193600000002</v>
      </c>
      <c r="R39">
        <v>0</v>
      </c>
    </row>
    <row r="40" spans="2:18" x14ac:dyDescent="0.25">
      <c r="B40" s="5">
        <v>9</v>
      </c>
      <c r="C40">
        <v>0</v>
      </c>
      <c r="D40">
        <v>0</v>
      </c>
      <c r="E40">
        <v>0</v>
      </c>
      <c r="G40">
        <f>SUM(C40:E40)</f>
        <v>0</v>
      </c>
      <c r="K40">
        <f t="shared" si="4"/>
        <v>0</v>
      </c>
      <c r="L40">
        <f>C40*(1+8%)^($B$22-B40)</f>
        <v>0</v>
      </c>
      <c r="M40">
        <f t="shared" si="5"/>
        <v>0</v>
      </c>
      <c r="N40">
        <v>0</v>
      </c>
      <c r="O40">
        <f>E40*1.12^($B$22-$B40)</f>
        <v>0</v>
      </c>
      <c r="P40">
        <v>0</v>
      </c>
      <c r="Q40">
        <f>G40*1.12^($B$22-$B40)</f>
        <v>0</v>
      </c>
      <c r="R40">
        <v>0</v>
      </c>
    </row>
    <row r="41" spans="2:18" x14ac:dyDescent="0.25">
      <c r="B41" s="5">
        <v>10</v>
      </c>
      <c r="C41">
        <v>0</v>
      </c>
      <c r="D41">
        <v>0</v>
      </c>
      <c r="E41">
        <v>0</v>
      </c>
      <c r="G41">
        <f>SUM(C41:E41)</f>
        <v>0</v>
      </c>
      <c r="K41">
        <f t="shared" si="4"/>
        <v>0</v>
      </c>
      <c r="L41">
        <f>C41*(1+8%)^($B$22-B41)</f>
        <v>0</v>
      </c>
      <c r="M41">
        <f t="shared" si="5"/>
        <v>0</v>
      </c>
      <c r="N41">
        <v>0</v>
      </c>
      <c r="O41">
        <f>E41*1.12^($B$22-$B41)</f>
        <v>0</v>
      </c>
      <c r="P41">
        <v>0</v>
      </c>
      <c r="Q41">
        <f>G41*1.12^($B$22-$B41)</f>
        <v>0</v>
      </c>
      <c r="R41">
        <v>0</v>
      </c>
    </row>
    <row r="42" spans="2:18" x14ac:dyDescent="0.25">
      <c r="B42" s="5">
        <v>11</v>
      </c>
      <c r="C42">
        <v>0</v>
      </c>
      <c r="D42">
        <v>0</v>
      </c>
      <c r="E42">
        <v>0</v>
      </c>
      <c r="G42">
        <f>SUM(C42:E42)</f>
        <v>0</v>
      </c>
      <c r="K42">
        <f t="shared" si="4"/>
        <v>0</v>
      </c>
      <c r="L42">
        <f>C42*(1+8%)^($B$22-B42)</f>
        <v>0</v>
      </c>
      <c r="M42">
        <f t="shared" si="5"/>
        <v>0</v>
      </c>
      <c r="N42">
        <v>0</v>
      </c>
      <c r="O42">
        <f>E42*1.12^($B$22-$B42)</f>
        <v>0</v>
      </c>
      <c r="P42">
        <v>0</v>
      </c>
      <c r="Q42">
        <f>G42*1.12^($B$22-$B42)</f>
        <v>0</v>
      </c>
      <c r="R42">
        <v>0</v>
      </c>
    </row>
    <row r="43" spans="2:18" x14ac:dyDescent="0.25">
      <c r="B43" s="11">
        <v>12</v>
      </c>
      <c r="C43" s="12">
        <v>0</v>
      </c>
      <c r="D43" s="12">
        <v>0</v>
      </c>
      <c r="E43" s="12">
        <v>10</v>
      </c>
      <c r="G43" s="12">
        <f>SUM(C43:E43)</f>
        <v>10</v>
      </c>
      <c r="I43" s="12"/>
      <c r="K43">
        <f t="shared" si="4"/>
        <v>0</v>
      </c>
      <c r="L43">
        <f>SUM(K32:K43)</f>
        <v>660.43643687433701</v>
      </c>
      <c r="M43">
        <f t="shared" si="5"/>
        <v>0</v>
      </c>
      <c r="N43">
        <f>SUM(M32:M43)</f>
        <v>378.42007674060812</v>
      </c>
      <c r="O43">
        <f>E43*1.12^($B$22-$B43)</f>
        <v>10</v>
      </c>
      <c r="P43">
        <f>SUM(O32:O43)</f>
        <v>120.53407037030405</v>
      </c>
      <c r="Q43">
        <f>G43*1.12^($B$22-$B43)</f>
        <v>10</v>
      </c>
      <c r="R43">
        <f>SUM(Q32:Q43)</f>
        <v>1159.3905839852491</v>
      </c>
    </row>
    <row r="44" spans="2:18" x14ac:dyDescent="0.25">
      <c r="B44" t="s">
        <v>1</v>
      </c>
      <c r="C44" s="97">
        <f>IRR(C31:C43)</f>
        <v>0.67765069880406004</v>
      </c>
      <c r="D44" s="97">
        <f>IRR(D31:D43)</f>
        <v>0.11479780584661747</v>
      </c>
      <c r="E44" s="97">
        <f>IRR(E31:E43)</f>
        <v>-7.5926619649617555E-2</v>
      </c>
      <c r="G44" s="97">
        <f>IRR(G31:G43)</f>
        <v>0.11737050742567146</v>
      </c>
      <c r="I44" s="97"/>
      <c r="L44" s="97"/>
    </row>
    <row r="45" spans="2:18" x14ac:dyDescent="0.25">
      <c r="B45" t="s">
        <v>17</v>
      </c>
      <c r="C45" s="97">
        <f>IRR(L31:L43)</f>
        <v>0.17035941218376793</v>
      </c>
      <c r="D45" s="97">
        <f>IRR(N31:N43)</f>
        <v>0.11728640439026883</v>
      </c>
      <c r="E45" s="97">
        <f>IRR(P31:P43)</f>
        <v>1.5685264755789019E-2</v>
      </c>
      <c r="G45" s="97">
        <f>IRR(R31:R43)</f>
        <v>0.11924640862111247</v>
      </c>
      <c r="I45" s="97"/>
    </row>
    <row r="46" spans="2:18" x14ac:dyDescent="0.25">
      <c r="B46" t="s">
        <v>52</v>
      </c>
      <c r="C46" s="100">
        <f>SUMIF(C31:C43,"&gt;0")/-SUMIF(C31:C43,"&lt;0")</f>
        <v>2</v>
      </c>
      <c r="D46" s="100">
        <f>SUMIF(D31:D43,"&gt;0")/-SUMIF(D31:D43,"&lt;0")</f>
        <v>2</v>
      </c>
      <c r="E46" s="100">
        <f>SUMIF(E31:E43,"&gt;0")/-SUMIF(E31:E43,"&lt;0")</f>
        <v>0.6</v>
      </c>
      <c r="G46" s="100">
        <f>SUMIF(G31:G43,"&gt;0")/-SUMIF(G31:G43,"&lt;0")</f>
        <v>1.5333333333333334</v>
      </c>
      <c r="I46" s="100"/>
    </row>
    <row r="51" spans="2:8" x14ac:dyDescent="0.25">
      <c r="B51" t="s">
        <v>140</v>
      </c>
    </row>
    <row r="53" spans="2:8" x14ac:dyDescent="0.25">
      <c r="B53" s="39" t="s">
        <v>83</v>
      </c>
      <c r="C53" s="39" t="s">
        <v>124</v>
      </c>
      <c r="D53" s="39" t="s">
        <v>134</v>
      </c>
      <c r="E53" s="39" t="s">
        <v>126</v>
      </c>
      <c r="F53" s="39" t="s">
        <v>44</v>
      </c>
      <c r="G53" s="39" t="s">
        <v>137</v>
      </c>
      <c r="H53" s="39" t="s">
        <v>138</v>
      </c>
    </row>
    <row r="54" spans="2:8" x14ac:dyDescent="0.25">
      <c r="B54" s="5">
        <v>0</v>
      </c>
      <c r="C54">
        <v>-100</v>
      </c>
      <c r="F54">
        <f>SUM(C54:E54)</f>
        <v>-100</v>
      </c>
      <c r="G54">
        <v>-100</v>
      </c>
      <c r="H54">
        <v>-100</v>
      </c>
    </row>
    <row r="55" spans="2:8" x14ac:dyDescent="0.25">
      <c r="B55" s="5">
        <v>1</v>
      </c>
      <c r="C55">
        <v>150</v>
      </c>
      <c r="F55">
        <f t="shared" ref="F55:F79" si="6">SUM(C55:E55)</f>
        <v>150</v>
      </c>
      <c r="G55">
        <v>150</v>
      </c>
      <c r="H55">
        <v>150</v>
      </c>
    </row>
    <row r="56" spans="2:8" x14ac:dyDescent="0.25">
      <c r="B56" s="5">
        <v>2</v>
      </c>
      <c r="C56">
        <v>0</v>
      </c>
      <c r="F56">
        <f t="shared" si="6"/>
        <v>0</v>
      </c>
      <c r="G56">
        <v>0</v>
      </c>
      <c r="H56">
        <v>0</v>
      </c>
    </row>
    <row r="57" spans="2:8" x14ac:dyDescent="0.25">
      <c r="B57" s="5">
        <v>3</v>
      </c>
      <c r="C57">
        <v>50</v>
      </c>
      <c r="F57">
        <f t="shared" si="6"/>
        <v>50</v>
      </c>
      <c r="G57">
        <v>50</v>
      </c>
      <c r="H57">
        <v>50</v>
      </c>
    </row>
    <row r="58" spans="2:8" x14ac:dyDescent="0.25">
      <c r="B58" s="5">
        <v>4</v>
      </c>
      <c r="C58">
        <v>0</v>
      </c>
      <c r="D58">
        <v>-100</v>
      </c>
      <c r="F58">
        <f t="shared" si="6"/>
        <v>-100</v>
      </c>
      <c r="G58">
        <v>-100</v>
      </c>
      <c r="H58">
        <v>-100</v>
      </c>
    </row>
    <row r="59" spans="2:8" x14ac:dyDescent="0.25">
      <c r="B59" s="5">
        <v>5</v>
      </c>
      <c r="C59">
        <v>0</v>
      </c>
      <c r="D59">
        <v>0</v>
      </c>
      <c r="F59">
        <f t="shared" si="6"/>
        <v>0</v>
      </c>
      <c r="G59">
        <v>0</v>
      </c>
      <c r="H59">
        <v>0</v>
      </c>
    </row>
    <row r="60" spans="2:8" x14ac:dyDescent="0.25">
      <c r="B60" s="5">
        <v>6</v>
      </c>
      <c r="C60">
        <v>0</v>
      </c>
      <c r="D60">
        <v>0</v>
      </c>
      <c r="F60">
        <f t="shared" si="6"/>
        <v>0</v>
      </c>
      <c r="G60">
        <v>0</v>
      </c>
      <c r="H60">
        <v>0</v>
      </c>
    </row>
    <row r="61" spans="2:8" x14ac:dyDescent="0.25">
      <c r="B61" s="5">
        <v>7</v>
      </c>
      <c r="C61">
        <v>0</v>
      </c>
      <c r="D61">
        <v>0</v>
      </c>
      <c r="F61">
        <f t="shared" si="6"/>
        <v>0</v>
      </c>
      <c r="G61">
        <v>0</v>
      </c>
      <c r="H61">
        <v>0</v>
      </c>
    </row>
    <row r="62" spans="2:8" x14ac:dyDescent="0.25">
      <c r="B62" s="5">
        <v>8</v>
      </c>
      <c r="C62">
        <v>0</v>
      </c>
      <c r="D62">
        <v>0</v>
      </c>
      <c r="F62">
        <f t="shared" si="6"/>
        <v>0</v>
      </c>
      <c r="G62">
        <v>0</v>
      </c>
      <c r="H62">
        <v>0</v>
      </c>
    </row>
    <row r="63" spans="2:8" x14ac:dyDescent="0.25">
      <c r="B63" s="5">
        <v>9</v>
      </c>
      <c r="C63">
        <v>0</v>
      </c>
      <c r="D63">
        <v>100</v>
      </c>
      <c r="F63">
        <f t="shared" si="6"/>
        <v>100</v>
      </c>
      <c r="G63">
        <v>100</v>
      </c>
      <c r="H63">
        <v>100</v>
      </c>
    </row>
    <row r="64" spans="2:8" x14ac:dyDescent="0.25">
      <c r="B64" s="5">
        <v>10</v>
      </c>
      <c r="C64">
        <v>0</v>
      </c>
      <c r="D64">
        <v>0</v>
      </c>
      <c r="F64">
        <f t="shared" si="6"/>
        <v>0</v>
      </c>
      <c r="G64">
        <v>0</v>
      </c>
      <c r="H64">
        <v>0</v>
      </c>
    </row>
    <row r="65" spans="2:9" x14ac:dyDescent="0.25">
      <c r="B65" s="5">
        <v>11</v>
      </c>
      <c r="C65">
        <v>0</v>
      </c>
      <c r="D65">
        <v>0</v>
      </c>
      <c r="F65">
        <f t="shared" si="6"/>
        <v>0</v>
      </c>
      <c r="G65">
        <v>0</v>
      </c>
      <c r="H65">
        <v>0</v>
      </c>
    </row>
    <row r="66" spans="2:9" x14ac:dyDescent="0.25">
      <c r="B66" s="5">
        <v>12</v>
      </c>
      <c r="C66">
        <v>0</v>
      </c>
      <c r="D66">
        <v>100</v>
      </c>
      <c r="F66">
        <f t="shared" si="6"/>
        <v>100</v>
      </c>
      <c r="G66">
        <v>100</v>
      </c>
      <c r="H66">
        <v>100</v>
      </c>
    </row>
    <row r="67" spans="2:9" x14ac:dyDescent="0.25">
      <c r="B67" s="5">
        <v>13</v>
      </c>
      <c r="D67">
        <v>0</v>
      </c>
      <c r="E67">
        <v>-100</v>
      </c>
      <c r="F67">
        <f t="shared" si="6"/>
        <v>-100</v>
      </c>
      <c r="G67">
        <v>-100</v>
      </c>
      <c r="H67">
        <v>-100</v>
      </c>
    </row>
    <row r="68" spans="2:9" x14ac:dyDescent="0.25">
      <c r="B68" s="5">
        <v>14</v>
      </c>
      <c r="D68">
        <v>0</v>
      </c>
      <c r="E68">
        <v>0</v>
      </c>
      <c r="F68">
        <f t="shared" si="6"/>
        <v>0</v>
      </c>
      <c r="G68">
        <v>0</v>
      </c>
      <c r="H68">
        <v>0</v>
      </c>
    </row>
    <row r="69" spans="2:9" x14ac:dyDescent="0.25">
      <c r="B69" s="5">
        <v>15</v>
      </c>
      <c r="D69">
        <v>0</v>
      </c>
      <c r="E69">
        <v>0</v>
      </c>
      <c r="F69">
        <f t="shared" si="6"/>
        <v>0</v>
      </c>
      <c r="G69">
        <v>0</v>
      </c>
      <c r="H69">
        <v>0</v>
      </c>
    </row>
    <row r="70" spans="2:9" x14ac:dyDescent="0.25">
      <c r="B70" s="5">
        <v>16</v>
      </c>
      <c r="D70">
        <v>0</v>
      </c>
      <c r="E70">
        <v>0</v>
      </c>
      <c r="F70">
        <f t="shared" si="6"/>
        <v>0</v>
      </c>
      <c r="G70">
        <v>0</v>
      </c>
      <c r="H70">
        <v>0</v>
      </c>
    </row>
    <row r="71" spans="2:9" x14ac:dyDescent="0.25">
      <c r="B71" s="5">
        <v>17</v>
      </c>
      <c r="E71">
        <v>0</v>
      </c>
      <c r="F71">
        <f t="shared" si="6"/>
        <v>0</v>
      </c>
      <c r="G71">
        <v>0</v>
      </c>
      <c r="H71">
        <v>0</v>
      </c>
    </row>
    <row r="72" spans="2:9" x14ac:dyDescent="0.25">
      <c r="B72" s="5">
        <v>18</v>
      </c>
      <c r="E72">
        <v>50</v>
      </c>
      <c r="F72">
        <f t="shared" si="6"/>
        <v>50</v>
      </c>
      <c r="G72">
        <v>50</v>
      </c>
      <c r="H72">
        <v>50</v>
      </c>
    </row>
    <row r="73" spans="2:9" x14ac:dyDescent="0.25">
      <c r="B73" s="5">
        <v>19</v>
      </c>
      <c r="E73">
        <v>0</v>
      </c>
      <c r="F73">
        <f t="shared" si="6"/>
        <v>0</v>
      </c>
      <c r="G73">
        <v>0</v>
      </c>
      <c r="H73">
        <v>0</v>
      </c>
    </row>
    <row r="74" spans="2:9" x14ac:dyDescent="0.25">
      <c r="B74" s="5">
        <v>20</v>
      </c>
      <c r="E74">
        <v>0</v>
      </c>
      <c r="F74">
        <f t="shared" si="6"/>
        <v>0</v>
      </c>
      <c r="G74">
        <v>0</v>
      </c>
      <c r="H74">
        <v>0</v>
      </c>
    </row>
    <row r="75" spans="2:9" x14ac:dyDescent="0.25">
      <c r="B75" s="5">
        <v>21</v>
      </c>
      <c r="E75">
        <v>0</v>
      </c>
      <c r="F75">
        <f t="shared" si="6"/>
        <v>0</v>
      </c>
      <c r="G75">
        <v>0</v>
      </c>
      <c r="H75">
        <v>0</v>
      </c>
    </row>
    <row r="76" spans="2:9" x14ac:dyDescent="0.25">
      <c r="B76" s="5">
        <v>22</v>
      </c>
      <c r="E76">
        <v>0</v>
      </c>
      <c r="F76">
        <f t="shared" si="6"/>
        <v>0</v>
      </c>
      <c r="G76">
        <v>0</v>
      </c>
      <c r="H76">
        <v>0</v>
      </c>
    </row>
    <row r="77" spans="2:9" x14ac:dyDescent="0.25">
      <c r="B77" s="5">
        <v>23</v>
      </c>
      <c r="E77">
        <v>0</v>
      </c>
      <c r="F77">
        <f t="shared" si="6"/>
        <v>0</v>
      </c>
      <c r="G77">
        <v>0</v>
      </c>
      <c r="H77">
        <v>0</v>
      </c>
    </row>
    <row r="78" spans="2:9" x14ac:dyDescent="0.25">
      <c r="B78" s="5">
        <v>24</v>
      </c>
      <c r="E78">
        <v>0</v>
      </c>
      <c r="F78">
        <f t="shared" si="6"/>
        <v>0</v>
      </c>
      <c r="G78">
        <v>0</v>
      </c>
      <c r="H78">
        <v>0</v>
      </c>
    </row>
    <row r="79" spans="2:9" x14ac:dyDescent="0.25">
      <c r="B79" s="11">
        <v>25</v>
      </c>
      <c r="C79" s="12"/>
      <c r="D79" s="12"/>
      <c r="E79" s="12">
        <v>10</v>
      </c>
      <c r="F79" s="101">
        <f t="shared" si="6"/>
        <v>10</v>
      </c>
      <c r="G79" s="102">
        <v>1000</v>
      </c>
      <c r="H79" s="101">
        <v>0</v>
      </c>
    </row>
    <row r="80" spans="2:9" x14ac:dyDescent="0.25">
      <c r="B80" s="5" t="s">
        <v>1</v>
      </c>
      <c r="C80" s="97">
        <f>IRR(C54:C79)</f>
        <v>0.67765069880406004</v>
      </c>
      <c r="D80" s="97">
        <f>IRR(D54:D79)</f>
        <v>0.11479780584661747</v>
      </c>
      <c r="E80" s="97">
        <f>IRR(E54:E79)</f>
        <v>-7.5926619649617555E-2</v>
      </c>
      <c r="F80" s="97">
        <f>IRR(F54:F79)</f>
        <v>0.46768486047642277</v>
      </c>
      <c r="G80" s="97">
        <f>IRR(G54:G79)</f>
        <v>0.46870153580019958</v>
      </c>
      <c r="H80" s="97">
        <f>IRR(H54:H79)</f>
        <v>0.46767442115367874</v>
      </c>
      <c r="I80" t="s">
        <v>153</v>
      </c>
    </row>
    <row r="81" spans="2:8" x14ac:dyDescent="0.25">
      <c r="B81" s="5" t="s">
        <v>52</v>
      </c>
      <c r="C81">
        <f>SUMIF(C54:C79,"&gt;0")/-SUMIF(C54:C79,"&lt;0")</f>
        <v>2</v>
      </c>
      <c r="D81">
        <f>SUMIF(D54:D79,"&gt;0")/-SUMIF(D54:D79,"&lt;0")</f>
        <v>2</v>
      </c>
      <c r="E81">
        <f>SUMIF(E54:E79,"&gt;0")/-SUMIF(E54:E79,"&lt;0")</f>
        <v>0.6</v>
      </c>
      <c r="F81" s="3">
        <f>SUMIF(F54:F79,"&gt;0")/-SUMIF(F54:F79,"&lt;0")</f>
        <v>1.5333333333333334</v>
      </c>
      <c r="G81" s="3">
        <f>SUMIF(G54:G79,"&gt;0")/-SUMIF(G54:G79,"&lt;0")</f>
        <v>4.833333333333333</v>
      </c>
      <c r="H81" s="3">
        <f>SUMIF(H54:H79,"&gt;0")/-SUMIF(H54:H79,"&lt;0")</f>
        <v>1.5</v>
      </c>
    </row>
    <row r="82" spans="2:8" x14ac:dyDescent="0.25">
      <c r="F82" s="97">
        <f>AVERAGE(C80:E80)</f>
        <v>0.23884062833368666</v>
      </c>
      <c r="G82" t="s">
        <v>152</v>
      </c>
    </row>
    <row r="83" spans="2:8" x14ac:dyDescent="0.25">
      <c r="B83" t="s">
        <v>141</v>
      </c>
    </row>
    <row r="85" spans="2:8" x14ac:dyDescent="0.25">
      <c r="B85" t="s">
        <v>83</v>
      </c>
      <c r="C85" t="s">
        <v>142</v>
      </c>
      <c r="D85" t="s">
        <v>143</v>
      </c>
      <c r="E85" t="s">
        <v>144</v>
      </c>
    </row>
    <row r="86" spans="2:8" x14ac:dyDescent="0.25">
      <c r="B86">
        <v>0</v>
      </c>
      <c r="C86">
        <v>-100</v>
      </c>
      <c r="D86">
        <v>-100</v>
      </c>
      <c r="E86">
        <v>-100</v>
      </c>
    </row>
    <row r="87" spans="2:8" x14ac:dyDescent="0.25">
      <c r="B87">
        <v>1</v>
      </c>
      <c r="C87">
        <v>150</v>
      </c>
      <c r="D87">
        <v>0</v>
      </c>
      <c r="E87">
        <v>100</v>
      </c>
    </row>
    <row r="88" spans="2:8" x14ac:dyDescent="0.25">
      <c r="B88">
        <v>2</v>
      </c>
      <c r="C88">
        <v>0</v>
      </c>
      <c r="D88">
        <v>0</v>
      </c>
      <c r="E88">
        <v>0</v>
      </c>
    </row>
    <row r="89" spans="2:8" x14ac:dyDescent="0.25">
      <c r="B89">
        <v>3</v>
      </c>
      <c r="C89">
        <v>0</v>
      </c>
      <c r="D89">
        <v>0</v>
      </c>
      <c r="E89">
        <v>0</v>
      </c>
    </row>
    <row r="90" spans="2:8" x14ac:dyDescent="0.25">
      <c r="B90">
        <v>4</v>
      </c>
      <c r="C90">
        <v>0</v>
      </c>
      <c r="D90">
        <v>0</v>
      </c>
      <c r="E90">
        <v>0</v>
      </c>
    </row>
    <row r="91" spans="2:8" x14ac:dyDescent="0.25">
      <c r="B91">
        <v>5</v>
      </c>
      <c r="C91">
        <v>0</v>
      </c>
      <c r="D91">
        <f>150*1.2^4</f>
        <v>311.03999999999996</v>
      </c>
      <c r="E91" s="3">
        <f>50*1.1^4</f>
        <v>73.205000000000027</v>
      </c>
    </row>
    <row r="92" spans="2:8" x14ac:dyDescent="0.25">
      <c r="B92" t="s">
        <v>1</v>
      </c>
      <c r="C92" s="97">
        <f>IRR(C86:C91)</f>
        <v>0.5</v>
      </c>
      <c r="D92" s="97">
        <f>IRR(D86:D91)</f>
        <v>0.25476746310943299</v>
      </c>
      <c r="E92" s="97">
        <f>IRR(E86:E91)</f>
        <v>0.27607802025067185</v>
      </c>
    </row>
    <row r="93" spans="2:8" x14ac:dyDescent="0.25">
      <c r="B93" t="s">
        <v>12</v>
      </c>
      <c r="C93">
        <v>33.93</v>
      </c>
      <c r="D93">
        <v>76.489999999999995</v>
      </c>
      <c r="E93">
        <v>30.82</v>
      </c>
    </row>
    <row r="94" spans="2:8" x14ac:dyDescent="0.25">
      <c r="B94" t="s">
        <v>17</v>
      </c>
      <c r="C94" s="2">
        <v>0.19</v>
      </c>
      <c r="D94" s="2">
        <v>0.25</v>
      </c>
      <c r="E94" s="2">
        <v>0.18</v>
      </c>
    </row>
    <row r="95" spans="2:8" x14ac:dyDescent="0.25">
      <c r="B95" t="s">
        <v>131</v>
      </c>
      <c r="C95" s="2">
        <v>0.5</v>
      </c>
      <c r="D95" s="2">
        <v>0.25</v>
      </c>
      <c r="E95" s="2">
        <v>0.18</v>
      </c>
    </row>
    <row r="97" spans="3:4" x14ac:dyDescent="0.25">
      <c r="C97" s="33">
        <f>NPV(10%,C86:C91)</f>
        <v>33.057851239669404</v>
      </c>
      <c r="D97" s="33">
        <f>NPV(10%,D86:D91)</f>
        <v>84.66488029483591</v>
      </c>
    </row>
    <row r="128" spans="2:2" x14ac:dyDescent="0.25">
      <c r="B128" t="s">
        <v>148</v>
      </c>
    </row>
    <row r="129" spans="2:6" x14ac:dyDescent="0.25">
      <c r="B129" t="s">
        <v>83</v>
      </c>
      <c r="C129" t="s">
        <v>149</v>
      </c>
      <c r="D129" t="s">
        <v>86</v>
      </c>
      <c r="E129" t="s">
        <v>18</v>
      </c>
      <c r="F129" t="s">
        <v>19</v>
      </c>
    </row>
    <row r="130" spans="2:6" x14ac:dyDescent="0.25">
      <c r="B130">
        <v>0</v>
      </c>
      <c r="C130">
        <v>-100</v>
      </c>
      <c r="D130">
        <v>-150</v>
      </c>
      <c r="E130">
        <v>-189</v>
      </c>
      <c r="F130">
        <v>-195</v>
      </c>
    </row>
    <row r="131" spans="2:6" x14ac:dyDescent="0.25">
      <c r="B131">
        <v>1</v>
      </c>
      <c r="C131">
        <v>-100</v>
      </c>
      <c r="D131">
        <v>0</v>
      </c>
      <c r="E131">
        <v>0</v>
      </c>
      <c r="F131">
        <v>0</v>
      </c>
    </row>
    <row r="132" spans="2:6" x14ac:dyDescent="0.25">
      <c r="B132">
        <v>2</v>
      </c>
      <c r="C132">
        <v>600</v>
      </c>
      <c r="D132">
        <v>600</v>
      </c>
      <c r="E132">
        <v>600</v>
      </c>
      <c r="F132">
        <v>600</v>
      </c>
    </row>
    <row r="133" spans="2:6" x14ac:dyDescent="0.25">
      <c r="B133" t="s">
        <v>1</v>
      </c>
      <c r="C133" s="2">
        <v>1</v>
      </c>
      <c r="D133" s="2">
        <v>1</v>
      </c>
      <c r="E133" s="2">
        <v>0.78</v>
      </c>
      <c r="F133" s="2">
        <v>0.75</v>
      </c>
    </row>
    <row r="134" spans="2:6" x14ac:dyDescent="0.25">
      <c r="B134" t="s">
        <v>17</v>
      </c>
      <c r="C134" s="2">
        <v>0.78</v>
      </c>
      <c r="D134" s="2">
        <v>1</v>
      </c>
      <c r="E134" s="2">
        <v>0.78</v>
      </c>
      <c r="F134" s="2">
        <v>0.75</v>
      </c>
    </row>
    <row r="135" spans="2:6" x14ac:dyDescent="0.25">
      <c r="B135" t="s">
        <v>12</v>
      </c>
      <c r="C135">
        <v>289</v>
      </c>
      <c r="D135">
        <v>328</v>
      </c>
      <c r="E135">
        <v>289</v>
      </c>
      <c r="F135">
        <v>283</v>
      </c>
    </row>
  </sheetData>
  <mergeCells count="2">
    <mergeCell ref="C7:F7"/>
    <mergeCell ref="C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IRR</vt:lpstr>
      <vt:lpstr>Aggregation</vt:lpstr>
      <vt:lpstr>PME1</vt:lpstr>
      <vt:lpstr>PME2</vt:lpstr>
      <vt:lpstr>PME3</vt:lpstr>
      <vt:lpstr>성과통계</vt:lpstr>
      <vt:lpstr>성과통계2</vt:lpstr>
      <vt:lpstr>Yale</vt:lpstr>
      <vt:lpstr>Phalippou</vt:lpstr>
      <vt:lpstr>Phalippou_abbr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JWC</dc:creator>
  <cp:lastModifiedBy>JWC</cp:lastModifiedBy>
  <dcterms:created xsi:type="dcterms:W3CDTF">2025-11-27T05:22:51Z</dcterms:created>
  <dcterms:modified xsi:type="dcterms:W3CDTF">2025-12-05T04:35:39Z</dcterms:modified>
</cp:coreProperties>
</file>